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ENEDOR" sheetId="4" state="visible" r:id="rId4"/>
    <sheet xmlns:r="http://schemas.openxmlformats.org/officeDocument/2006/relationships" name="COMPET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$#,##0.00"/>
    <numFmt numFmtId="167" formatCode="$#,##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666666"/>
      <sz val="8"/>
    </font>
    <font>
      <name val="Arial"/>
      <b val="1"/>
      <color rgb="00000000"/>
      <sz val="11"/>
    </font>
    <font>
      <name val="Arial"/>
      <b val="1"/>
      <color rgb="00B8562E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2121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2" fontId="4" fillId="2" borderId="0" pivotButton="0" quotePrefix="0" xfId="0"/>
    <xf numFmtId="0" fontId="5" fillId="0" borderId="0" pivotButton="0" quotePrefix="0" xfId="0"/>
    <xf numFmtId="4" fontId="4" fillId="2" borderId="0" pivotButton="0" quotePrefix="0" xfId="0"/>
    <xf numFmtId="164" fontId="4" fillId="2" borderId="0" pivotButton="0" quotePrefix="0" xfId="0"/>
    <xf numFmtId="1" fontId="4" fillId="2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2" fillId="0" borderId="1" pivotButton="0" quotePrefix="0" xfId="0"/>
    <xf numFmtId="4" fontId="4" fillId="2" borderId="1" pivotButton="0" quotePrefix="0" xfId="0"/>
    <xf numFmtId="165" fontId="4" fillId="2" borderId="1" pivotButton="0" quotePrefix="0" xfId="0"/>
    <xf numFmtId="3" fontId="2" fillId="0" borderId="1" pivotButton="0" quotePrefix="0" xfId="0"/>
    <xf numFmtId="4" fontId="2" fillId="0" borderId="1" pivotButton="0" quotePrefix="0" xfId="0"/>
    <xf numFmtId="166" fontId="2" fillId="0" borderId="1" pivotButton="0" quotePrefix="0" xfId="0"/>
    <xf numFmtId="167" fontId="4" fillId="2" borderId="1" pivotButton="0" quotePrefix="0" xfId="0"/>
    <xf numFmtId="167" fontId="3" fillId="0" borderId="1" pivotButton="0" quotePrefix="0" xfId="0"/>
    <xf numFmtId="164" fontId="3" fillId="0" borderId="1" pivotButton="0" quotePrefix="0" xfId="0"/>
    <xf numFmtId="0" fontId="7" fillId="0" borderId="1" pivotButton="0" quotePrefix="0" xfId="0"/>
    <xf numFmtId="0" fontId="6" fillId="3" borderId="0" pivotButton="0" quotePrefix="0" xfId="0"/>
    <xf numFmtId="0" fontId="3" fillId="0" borderId="0" pivotButton="0" quotePrefix="0" xfId="0"/>
    <xf numFmtId="3" fontId="4" fillId="2" borderId="0" pivotButton="0" quotePrefix="0" xfId="0"/>
    <xf numFmtId="168" fontId="2" fillId="0" borderId="0" pivotButton="0" quotePrefix="0" xfId="0"/>
    <xf numFmtId="167" fontId="2" fillId="0" borderId="0" pivotButton="0" quotePrefix="0" xfId="0"/>
    <xf numFmtId="167" fontId="3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68" fontId="8" fillId="0" borderId="0" pivotButton="0" quotePrefix="0" xfId="0"/>
    <xf numFmtId="167" fontId="8" fillId="0" borderId="0" pivotButton="0" quotePrefix="0" xfId="0"/>
    <xf numFmtId="168" fontId="5" fillId="0" borderId="0" pivotButton="0" quotePrefix="0" xfId="0"/>
    <xf numFmtId="0" fontId="9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EQUIPA · CATÁLOGO MAESTRO — modelo de costos de importación</t>
        </is>
      </c>
    </row>
    <row r="2">
      <c r="A2" s="2" t="inlineStr"/>
    </row>
    <row r="3">
      <c r="A3" s="2" t="inlineStr">
        <is>
          <t>Qué es: los 39 SKUs del catálogo con su costo real de importación (FOB → flete → arancel → aterrizado) y la utilidad por pieza a precio de mayoreo y menudeo.</t>
        </is>
      </c>
    </row>
    <row r="4">
      <c r="A4" s="2" t="inlineStr"/>
    </row>
    <row r="5">
      <c r="A5" s="3" t="inlineStr">
        <is>
          <t>CÓMO USAR:</t>
        </is>
      </c>
    </row>
    <row r="6">
      <c r="A6" s="2" t="inlineStr">
        <is>
          <t>1. Celdas AZULES con fondo AMARILLO = se editan (parámetros, FOB, precios). Todo lo demás son fórmulas: NO tocar.</t>
        </is>
      </c>
    </row>
    <row r="7">
      <c r="A7" s="2" t="inlineStr">
        <is>
          <t>2. Cambia un parámetro en PARAMETROS (ej. arancel 25%→35%) y todo el catálogo se recalcula.</t>
        </is>
      </c>
    </row>
    <row r="8">
      <c r="A8" s="2" t="inlineStr">
        <is>
          <t xml:space="preserve">3. Columna 'Dato' en CATALOGO: [V] = FOB tomado de listado real verificable (URL en 'Fuente') · [E] = estimación de la investigación. </t>
        </is>
      </c>
    </row>
    <row r="9">
      <c r="A9" s="2" t="inlineStr">
        <is>
          <t xml:space="preserve">   Los [E] se vuelven [V] cuando el proveedor responda el RFQ (ventas/rfq-proveedores.md) con cotización formal.</t>
        </is>
      </c>
    </row>
    <row r="10">
      <c r="A10" s="2" t="inlineStr">
        <is>
          <t>4. CONTENEDOR simula el primer 40'HQ: edita cantidades (azul) y revisa que el CBM no pase el límite.</t>
        </is>
      </c>
    </row>
    <row r="11">
      <c r="A11" s="2" t="inlineStr">
        <is>
          <t>5. COMPETENCIA: las 465 piezas de mobiliarioenmexico.com.mx por categoría, para validar precios de venta.</t>
        </is>
      </c>
    </row>
    <row r="12">
      <c r="A12" s="2" t="inlineStr"/>
    </row>
    <row r="13">
      <c r="A13" s="2" t="inlineStr">
        <is>
          <t>Fuentes de parámetros: investigacion/sourcing-china.md y mercado-mexico.md (flete Efanda/Sino-Shipping ago-2026; arancel decreto DOF 29-dic-2025; DTA/agente Camtom y DTD Express). El IGI exacto por fracción lo confirma el agente aduanal.</t>
        </is>
      </c>
    </row>
    <row r="14">
      <c r="A14" s="2" t="inlineStr">
        <is>
          <t>Generado: 20-ago-2026 · se regenera con investigacion/armar_excel.py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66" customWidth="1" min="3" max="3"/>
  </cols>
  <sheetData>
    <row r="1">
      <c r="A1" s="4" t="inlineStr">
        <is>
          <t>PARÁMETROS DEL MODELO (editar en azul)</t>
        </is>
      </c>
    </row>
    <row r="3">
      <c r="A3" s="5" t="inlineStr">
        <is>
          <t>Tipo de cambio MXN/USD</t>
        </is>
      </c>
      <c r="B3" s="6" t="n">
        <v>18.5</v>
      </c>
      <c r="C3" s="7" t="inlineStr">
        <is>
          <t>Ajustar al día de la operación</t>
        </is>
      </c>
    </row>
    <row r="4">
      <c r="A4" s="5" t="inlineStr">
        <is>
          <t>Flete marítimo 40'HQ China→Manzanillo (USD)</t>
        </is>
      </c>
      <c r="B4" s="8" t="n">
        <v>5000</v>
      </c>
      <c r="C4" s="7" t="inlineStr">
        <is>
          <t>Rango ago-2026: $3,500–5,500 (Efanda/Sino-Shipping). Cotizar en firme</t>
        </is>
      </c>
    </row>
    <row r="5">
      <c r="A5" s="5" t="inlineStr">
        <is>
          <t>Seguro (% sobre FOB)</t>
        </is>
      </c>
      <c r="B5" s="9" t="n">
        <v>0.003</v>
      </c>
      <c r="C5" s="7" t="inlineStr">
        <is>
          <t>~0.3% típico</t>
        </is>
      </c>
    </row>
    <row r="6">
      <c r="A6" s="5" t="inlineStr">
        <is>
          <t>IGI / arancel (% sobre CIF)</t>
        </is>
      </c>
      <c r="B6" s="9" t="n">
        <v>0.3</v>
      </c>
      <c r="C6" s="7" t="inlineStr">
        <is>
          <t>Decreto DOF 29-dic-2025: muebles cap. 94 quedaron en 25–35% según fracción. 30% = escenario medio. CONFIRMAR por fracción con agente aduanal</t>
        </is>
      </c>
    </row>
    <row r="7">
      <c r="A7" s="5" t="inlineStr">
        <is>
          <t>DTA (% sobre CIF)</t>
        </is>
      </c>
      <c r="B7" s="9" t="n">
        <v>0.008</v>
      </c>
      <c r="C7" s="7" t="inlineStr">
        <is>
          <t>8 al millar, sin tope</t>
        </is>
      </c>
    </row>
    <row r="8">
      <c r="A8" s="5" t="inlineStr">
        <is>
          <t>Agente aduanal + prevalidación + maniobras (USD/contenedor)</t>
        </is>
      </c>
      <c r="B8" s="8" t="n">
        <v>900</v>
      </c>
      <c r="C8" s="7" t="inlineStr">
        <is>
          <t>MXN $3,500–8,000 + gastos; escenario medio</t>
        </is>
      </c>
    </row>
    <row r="9">
      <c r="A9" s="5" t="inlineStr">
        <is>
          <t>Flete Manzanillo→Morelia contenedor (USD)</t>
        </is>
      </c>
      <c r="B9" s="8" t="n">
        <v>1800</v>
      </c>
      <c r="C9" s="7" t="inlineStr">
        <is>
          <t>~MXN $25,000–40,000 [E]</t>
        </is>
      </c>
    </row>
    <row r="10">
      <c r="A10" s="5" t="inlineStr">
        <is>
          <t>CBM útil por 40'HQ</t>
        </is>
      </c>
      <c r="B10" s="10" t="n">
        <v>67</v>
      </c>
      <c r="C10" s="7" t="inlineStr">
        <is>
          <t>Nominal 76 CBM; 67 realista con estiba mixta</t>
        </is>
      </c>
    </row>
    <row r="11">
      <c r="A11" s="5" t="inlineStr">
        <is>
          <t>IVA importación (acreditable)</t>
        </is>
      </c>
      <c r="B11" s="9" t="n">
        <v>0.16</v>
      </c>
      <c r="C11" s="7" t="inlineStr">
        <is>
          <t>Sobre CIF+IGI+DTA. Es flujo, no costo, si facturas — por eso NO entra al costo aterrizado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1" customWidth="1" min="4" max="4"/>
    <col width="8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9" customWidth="1" min="11" max="11"/>
    <col width="11" customWidth="1" min="12" max="12"/>
    <col width="12" customWidth="1" min="13" max="13"/>
    <col width="13" customWidth="1" min="14" max="14"/>
    <col width="15" customWidth="1" min="15" max="15"/>
    <col width="15" customWidth="1" min="16" max="16"/>
    <col width="13" customWidth="1" min="17" max="17"/>
    <col width="11" customWidth="1" min="18" max="18"/>
    <col width="13" customWidth="1" min="19" max="19"/>
    <col width="11" customWidth="1" min="20" max="20"/>
    <col width="9" customWidth="1" min="21" max="21"/>
    <col width="6" customWidth="1" min="22" max="22"/>
    <col width="60" customWidth="1" min="23" max="23"/>
  </cols>
  <sheetData>
    <row r="1" ht="30" customHeight="1">
      <c r="A1" s="11" t="inlineStr">
        <is>
          <t>SKU</t>
        </is>
      </c>
      <c r="B1" s="11" t="inlineStr">
        <is>
          <t>Producto</t>
        </is>
      </c>
      <c r="C1" s="11" t="inlineStr">
        <is>
          <t>Categoría</t>
        </is>
      </c>
      <c r="D1" s="11" t="inlineStr">
        <is>
          <t>FOB USD/ud</t>
        </is>
      </c>
      <c r="E1" s="11" t="inlineStr">
        <is>
          <t>CBM/ud</t>
        </is>
      </c>
      <c r="F1" s="11" t="inlineStr">
        <is>
          <t>Uds por 40'HQ</t>
        </is>
      </c>
      <c r="G1" s="11" t="inlineStr">
        <is>
          <t>Flete USD/ud</t>
        </is>
      </c>
      <c r="H1" s="11" t="inlineStr">
        <is>
          <t>Seguro USD</t>
        </is>
      </c>
      <c r="I1" s="11" t="inlineStr">
        <is>
          <t>CIF USD</t>
        </is>
      </c>
      <c r="J1" s="11" t="inlineStr">
        <is>
          <t>IGI USD</t>
        </is>
      </c>
      <c r="K1" s="11" t="inlineStr">
        <is>
          <t>DTA USD</t>
        </is>
      </c>
      <c r="L1" s="11" t="inlineStr">
        <is>
          <t>Fijos USD/ud</t>
        </is>
      </c>
      <c r="M1" s="11" t="inlineStr">
        <is>
          <t>Aterrizado USD</t>
        </is>
      </c>
      <c r="N1" s="11" t="inlineStr">
        <is>
          <t>Aterrizado MXN</t>
        </is>
      </c>
      <c r="O1" s="11" t="inlineStr">
        <is>
          <t>Precio mayoreo MXN</t>
        </is>
      </c>
      <c r="P1" s="11" t="inlineStr">
        <is>
          <t>Precio menudeo MXN</t>
        </is>
      </c>
      <c r="Q1" s="11" t="inlineStr">
        <is>
          <t>Utilidad may. $</t>
        </is>
      </c>
      <c r="R1" s="11" t="inlineStr">
        <is>
          <t>Margen may. %</t>
        </is>
      </c>
      <c r="S1" s="11" t="inlineStr">
        <is>
          <t>Utilidad men. $</t>
        </is>
      </c>
      <c r="T1" s="11" t="inlineStr">
        <is>
          <t>Margen men. %</t>
        </is>
      </c>
      <c r="U1" s="11" t="inlineStr">
        <is>
          <t>MOQ prov.</t>
        </is>
      </c>
      <c r="V1" s="11" t="inlineStr">
        <is>
          <t>Dato</t>
        </is>
      </c>
      <c r="W1" s="11" t="inlineStr">
        <is>
          <t>Fuente FOB (URL)</t>
        </is>
      </c>
    </row>
    <row r="2">
      <c r="A2" s="12" t="inlineStr">
        <is>
          <t>EQP-101</t>
        </is>
      </c>
      <c r="B2" s="13" t="inlineStr">
        <is>
          <t>Silla Marfil</t>
        </is>
      </c>
      <c r="C2" s="13" t="inlineStr">
        <is>
          <t>sillas</t>
        </is>
      </c>
      <c r="D2" s="14" t="n">
        <v>26</v>
      </c>
      <c r="E2" s="15" t="n">
        <v>0.12</v>
      </c>
      <c r="F2" s="16">
        <f>ROUNDDOWN(PARAMETROS!$B$10/E2,0)</f>
        <v/>
      </c>
      <c r="G2" s="17">
        <f>PARAMETROS!$B$4/F2</f>
        <v/>
      </c>
      <c r="H2" s="17">
        <f>D2*PARAMETROS!$B$5</f>
        <v/>
      </c>
      <c r="I2" s="17">
        <f>D2+G2+H2</f>
        <v/>
      </c>
      <c r="J2" s="17">
        <f>I2*PARAMETROS!$B$6</f>
        <v/>
      </c>
      <c r="K2" s="17">
        <f>I2*PARAMETROS!$B$7</f>
        <v/>
      </c>
      <c r="L2" s="17">
        <f>(PARAMETROS!$B$8+PARAMETROS!$B$9)/F2</f>
        <v/>
      </c>
      <c r="M2" s="17">
        <f>I2+J2+K2+L2</f>
        <v/>
      </c>
      <c r="N2" s="18">
        <f>M2*PARAMETROS!$B$3</f>
        <v/>
      </c>
      <c r="O2" s="19" t="n">
        <v>1490</v>
      </c>
      <c r="P2" s="19" t="n">
        <v>1790</v>
      </c>
      <c r="Q2" s="20">
        <f>O2-N2</f>
        <v/>
      </c>
      <c r="R2" s="21">
        <f>IF(O2=0,0,Q2/O2)</f>
        <v/>
      </c>
      <c r="S2" s="20">
        <f>P2-N2</f>
        <v/>
      </c>
      <c r="T2" s="21">
        <f>IF(P2=0,0,S2/P2)</f>
        <v/>
      </c>
      <c r="U2" s="13" t="inlineStr">
        <is>
          <t>100-200</t>
        </is>
      </c>
      <c r="V2" s="13" t="inlineStr">
        <is>
          <t>[V]</t>
        </is>
      </c>
      <c r="W2" s="22" t="inlineStr">
        <is>
          <t>Tianjin Okay Int'l — tianjinokayfurniture.en.made-in-china.com (velvet metal $24-26 a 200+)</t>
        </is>
      </c>
    </row>
    <row r="3">
      <c r="A3" s="12" t="inlineStr">
        <is>
          <t>EQP-102</t>
        </is>
      </c>
      <c r="B3" s="13" t="inlineStr">
        <is>
          <t>Silla Roble</t>
        </is>
      </c>
      <c r="C3" s="13" t="inlineStr">
        <is>
          <t>sillas</t>
        </is>
      </c>
      <c r="D3" s="14" t="n">
        <v>30</v>
      </c>
      <c r="E3" s="15" t="n">
        <v>0.17</v>
      </c>
      <c r="F3" s="16">
        <f>ROUNDDOWN(PARAMETROS!$B$10/E3,0)</f>
        <v/>
      </c>
      <c r="G3" s="17">
        <f>PARAMETROS!$B$4/F3</f>
        <v/>
      </c>
      <c r="H3" s="17">
        <f>D3*PARAMETROS!$B$5</f>
        <v/>
      </c>
      <c r="I3" s="17">
        <f>D3+G3+H3</f>
        <v/>
      </c>
      <c r="J3" s="17">
        <f>I3*PARAMETROS!$B$6</f>
        <v/>
      </c>
      <c r="K3" s="17">
        <f>I3*PARAMETROS!$B$7</f>
        <v/>
      </c>
      <c r="L3" s="17">
        <f>(PARAMETROS!$B$8+PARAMETROS!$B$9)/F3</f>
        <v/>
      </c>
      <c r="M3" s="17">
        <f>I3+J3+K3+L3</f>
        <v/>
      </c>
      <c r="N3" s="18">
        <f>M3*PARAMETROS!$B$3</f>
        <v/>
      </c>
      <c r="O3" s="19" t="n">
        <v>1890</v>
      </c>
      <c r="P3" s="19" t="n">
        <v>2290</v>
      </c>
      <c r="Q3" s="20">
        <f>O3-N3</f>
        <v/>
      </c>
      <c r="R3" s="21">
        <f>IF(O3=0,0,Q3/O3)</f>
        <v/>
      </c>
      <c r="S3" s="20">
        <f>P3-N3</f>
        <v/>
      </c>
      <c r="T3" s="21">
        <f>IF(P3=0,0,S3/P3)</f>
        <v/>
      </c>
      <c r="U3" s="13" t="inlineStr">
        <is>
          <t>200</t>
        </is>
      </c>
      <c r="V3" s="13" t="inlineStr">
        <is>
          <t>[V]</t>
        </is>
      </c>
      <c r="W3" s="22" t="inlineStr">
        <is>
          <t>Qingdao Welhome — welhome.en.made-in-china.com (bentwood haya $25-38)</t>
        </is>
      </c>
    </row>
    <row r="4">
      <c r="A4" s="12" t="inlineStr">
        <is>
          <t>EQP-103</t>
        </is>
      </c>
      <c r="B4" s="13" t="inlineStr">
        <is>
          <t>Silla Nube</t>
        </is>
      </c>
      <c r="C4" s="13" t="inlineStr">
        <is>
          <t>sillas</t>
        </is>
      </c>
      <c r="D4" s="14" t="n">
        <v>12</v>
      </c>
      <c r="E4" s="15" t="n">
        <v>0.08</v>
      </c>
      <c r="F4" s="16">
        <f>ROUNDDOWN(PARAMETROS!$B$10/E4,0)</f>
        <v/>
      </c>
      <c r="G4" s="17">
        <f>PARAMETROS!$B$4/F4</f>
        <v/>
      </c>
      <c r="H4" s="17">
        <f>D4*PARAMETROS!$B$5</f>
        <v/>
      </c>
      <c r="I4" s="17">
        <f>D4+G4+H4</f>
        <v/>
      </c>
      <c r="J4" s="17">
        <f>I4*PARAMETROS!$B$6</f>
        <v/>
      </c>
      <c r="K4" s="17">
        <f>I4*PARAMETROS!$B$7</f>
        <v/>
      </c>
      <c r="L4" s="17">
        <f>(PARAMETROS!$B$8+PARAMETROS!$B$9)/F4</f>
        <v/>
      </c>
      <c r="M4" s="17">
        <f>I4+J4+K4+L4</f>
        <v/>
      </c>
      <c r="N4" s="18">
        <f>M4*PARAMETROS!$B$3</f>
        <v/>
      </c>
      <c r="O4" s="19" t="n">
        <v>890</v>
      </c>
      <c r="P4" s="19" t="n">
        <v>1090</v>
      </c>
      <c r="Q4" s="20">
        <f>O4-N4</f>
        <v/>
      </c>
      <c r="R4" s="21">
        <f>IF(O4=0,0,Q4/O4)</f>
        <v/>
      </c>
      <c r="S4" s="20">
        <f>P4-N4</f>
        <v/>
      </c>
      <c r="T4" s="21">
        <f>IF(P4=0,0,S4/P4)</f>
        <v/>
      </c>
      <c r="U4" s="13" t="inlineStr">
        <is>
          <t>50-100</t>
        </is>
      </c>
      <c r="V4" s="13" t="inlineStr">
        <is>
          <t>[V]</t>
        </is>
      </c>
      <c r="W4" s="22" t="inlineStr">
        <is>
          <t>Beijing Jinyang $9-16 / Langfang Airun $13-17 (made-in-china.com)</t>
        </is>
      </c>
    </row>
    <row r="5">
      <c r="A5" s="12" t="inlineStr">
        <is>
          <t>EQP-104</t>
        </is>
      </c>
      <c r="B5" s="13" t="inlineStr">
        <is>
          <t>Silla Prado</t>
        </is>
      </c>
      <c r="C5" s="13" t="inlineStr">
        <is>
          <t>sillas</t>
        </is>
      </c>
      <c r="D5" s="14" t="n">
        <v>28</v>
      </c>
      <c r="E5" s="15" t="n">
        <v>0.12</v>
      </c>
      <c r="F5" s="16">
        <f>ROUNDDOWN(PARAMETROS!$B$10/E5,0)</f>
        <v/>
      </c>
      <c r="G5" s="17">
        <f>PARAMETROS!$B$4/F5</f>
        <v/>
      </c>
      <c r="H5" s="17">
        <f>D5*PARAMETROS!$B$5</f>
        <v/>
      </c>
      <c r="I5" s="17">
        <f>D5+G5+H5</f>
        <v/>
      </c>
      <c r="J5" s="17">
        <f>I5*PARAMETROS!$B$6</f>
        <v/>
      </c>
      <c r="K5" s="17">
        <f>I5*PARAMETROS!$B$7</f>
        <v/>
      </c>
      <c r="L5" s="17">
        <f>(PARAMETROS!$B$8+PARAMETROS!$B$9)/F5</f>
        <v/>
      </c>
      <c r="M5" s="17">
        <f>I5+J5+K5+L5</f>
        <v/>
      </c>
      <c r="N5" s="18">
        <f>M5*PARAMETROS!$B$3</f>
        <v/>
      </c>
      <c r="O5" s="19" t="n">
        <v>1590</v>
      </c>
      <c r="P5" s="19" t="n">
        <v>1890</v>
      </c>
      <c r="Q5" s="20">
        <f>O5-N5</f>
        <v/>
      </c>
      <c r="R5" s="21">
        <f>IF(O5=0,0,Q5/O5)</f>
        <v/>
      </c>
      <c r="S5" s="20">
        <f>P5-N5</f>
        <v/>
      </c>
      <c r="T5" s="21">
        <f>IF(P5=0,0,S5/P5)</f>
        <v/>
      </c>
      <c r="U5" s="13" t="inlineStr">
        <is>
          <t>100</t>
        </is>
      </c>
      <c r="V5" s="13" t="inlineStr">
        <is>
          <t>[V]</t>
        </is>
      </c>
      <c r="W5" s="22" t="inlineStr">
        <is>
          <t>Tianjin Okay / Zhuoguan $20.90-29.90 (made-in-china.com)</t>
        </is>
      </c>
    </row>
    <row r="6">
      <c r="A6" s="12" t="inlineStr">
        <is>
          <t>EQP-105</t>
        </is>
      </c>
      <c r="B6" s="13" t="inlineStr">
        <is>
          <t>Silla Vega</t>
        </is>
      </c>
      <c r="C6" s="13" t="inlineStr">
        <is>
          <t>sillas</t>
        </is>
      </c>
      <c r="D6" s="14" t="n">
        <v>35</v>
      </c>
      <c r="E6" s="15" t="n">
        <v>0.17</v>
      </c>
      <c r="F6" s="16">
        <f>ROUNDDOWN(PARAMETROS!$B$10/E6,0)</f>
        <v/>
      </c>
      <c r="G6" s="17">
        <f>PARAMETROS!$B$4/F6</f>
        <v/>
      </c>
      <c r="H6" s="17">
        <f>D6*PARAMETROS!$B$5</f>
        <v/>
      </c>
      <c r="I6" s="17">
        <f>D6+G6+H6</f>
        <v/>
      </c>
      <c r="J6" s="17">
        <f>I6*PARAMETROS!$B$6</f>
        <v/>
      </c>
      <c r="K6" s="17">
        <f>I6*PARAMETROS!$B$7</f>
        <v/>
      </c>
      <c r="L6" s="17">
        <f>(PARAMETROS!$B$8+PARAMETROS!$B$9)/F6</f>
        <v/>
      </c>
      <c r="M6" s="17">
        <f>I6+J6+K6+L6</f>
        <v/>
      </c>
      <c r="N6" s="18">
        <f>M6*PARAMETROS!$B$3</f>
        <v/>
      </c>
      <c r="O6" s="19" t="n">
        <v>1990</v>
      </c>
      <c r="P6" s="19" t="n">
        <v>2390</v>
      </c>
      <c r="Q6" s="20">
        <f>O6-N6</f>
        <v/>
      </c>
      <c r="R6" s="21">
        <f>IF(O6=0,0,Q6/O6)</f>
        <v/>
      </c>
      <c r="S6" s="20">
        <f>P6-N6</f>
        <v/>
      </c>
      <c r="T6" s="21">
        <f>IF(P6=0,0,S6/P6)</f>
        <v/>
      </c>
      <c r="U6" s="13" t="inlineStr">
        <is>
          <t>100</t>
        </is>
      </c>
      <c r="V6" s="13" t="inlineStr">
        <is>
          <t>[E]</t>
        </is>
      </c>
      <c r="W6" s="22" t="inlineStr">
        <is>
          <t>Interpolado Welhome/CDG (madera+tapiz)</t>
        </is>
      </c>
    </row>
    <row r="7">
      <c r="A7" s="12" t="inlineStr">
        <is>
          <t>EQP-106</t>
        </is>
      </c>
      <c r="B7" s="13" t="inlineStr">
        <is>
          <t>Silla Terra</t>
        </is>
      </c>
      <c r="C7" s="13" t="inlineStr">
        <is>
          <t>sillas</t>
        </is>
      </c>
      <c r="D7" s="14" t="n">
        <v>31</v>
      </c>
      <c r="E7" s="15" t="n">
        <v>0.13</v>
      </c>
      <c r="F7" s="16">
        <f>ROUNDDOWN(PARAMETROS!$B$10/E7,0)</f>
        <v/>
      </c>
      <c r="G7" s="17">
        <f>PARAMETROS!$B$4/F7</f>
        <v/>
      </c>
      <c r="H7" s="17">
        <f>D7*PARAMETROS!$B$5</f>
        <v/>
      </c>
      <c r="I7" s="17">
        <f>D7+G7+H7</f>
        <v/>
      </c>
      <c r="J7" s="17">
        <f>I7*PARAMETROS!$B$6</f>
        <v/>
      </c>
      <c r="K7" s="17">
        <f>I7*PARAMETROS!$B$7</f>
        <v/>
      </c>
      <c r="L7" s="17">
        <f>(PARAMETROS!$B$8+PARAMETROS!$B$9)/F7</f>
        <v/>
      </c>
      <c r="M7" s="17">
        <f>I7+J7+K7+L7</f>
        <v/>
      </c>
      <c r="N7" s="18">
        <f>M7*PARAMETROS!$B$3</f>
        <v/>
      </c>
      <c r="O7" s="19" t="n">
        <v>1990</v>
      </c>
      <c r="P7" s="19" t="n">
        <v>2490</v>
      </c>
      <c r="Q7" s="20">
        <f>O7-N7</f>
        <v/>
      </c>
      <c r="R7" s="21">
        <f>IF(O7=0,0,Q7/O7)</f>
        <v/>
      </c>
      <c r="S7" s="20">
        <f>P7-N7</f>
        <v/>
      </c>
      <c r="T7" s="21">
        <f>IF(P7=0,0,S7/P7)</f>
        <v/>
      </c>
      <c r="U7" s="13" t="inlineStr">
        <is>
          <t>100</t>
        </is>
      </c>
      <c r="V7" s="13" t="inlineStr">
        <is>
          <t>[V]</t>
        </is>
      </c>
      <c r="W7" s="22" t="inlineStr">
        <is>
          <t>Alibaba showroom velvet dining chair $18-31.5</t>
        </is>
      </c>
    </row>
    <row r="8">
      <c r="A8" s="12" t="inlineStr">
        <is>
          <t>EQP-201</t>
        </is>
      </c>
      <c r="B8" s="13" t="inlineStr">
        <is>
          <t>Banco Norte Alto</t>
        </is>
      </c>
      <c r="C8" s="13" t="inlineStr">
        <is>
          <t>bancos</t>
        </is>
      </c>
      <c r="D8" s="14" t="n">
        <v>12</v>
      </c>
      <c r="E8" s="15" t="n">
        <v>0.09</v>
      </c>
      <c r="F8" s="16">
        <f>ROUNDDOWN(PARAMETROS!$B$10/E8,0)</f>
        <v/>
      </c>
      <c r="G8" s="17">
        <f>PARAMETROS!$B$4/F8</f>
        <v/>
      </c>
      <c r="H8" s="17">
        <f>D8*PARAMETROS!$B$5</f>
        <v/>
      </c>
      <c r="I8" s="17">
        <f>D8+G8+H8</f>
        <v/>
      </c>
      <c r="J8" s="17">
        <f>I8*PARAMETROS!$B$6</f>
        <v/>
      </c>
      <c r="K8" s="17">
        <f>I8*PARAMETROS!$B$7</f>
        <v/>
      </c>
      <c r="L8" s="17">
        <f>(PARAMETROS!$B$8+PARAMETROS!$B$9)/F8</f>
        <v/>
      </c>
      <c r="M8" s="17">
        <f>I8+J8+K8+L8</f>
        <v/>
      </c>
      <c r="N8" s="18">
        <f>M8*PARAMETROS!$B$3</f>
        <v/>
      </c>
      <c r="O8" s="19" t="n">
        <v>1190</v>
      </c>
      <c r="P8" s="19" t="n">
        <v>1390</v>
      </c>
      <c r="Q8" s="20">
        <f>O8-N8</f>
        <v/>
      </c>
      <c r="R8" s="21">
        <f>IF(O8=0,0,Q8/O8)</f>
        <v/>
      </c>
      <c r="S8" s="20">
        <f>P8-N8</f>
        <v/>
      </c>
      <c r="T8" s="21">
        <f>IF(P8=0,0,S8/P8)</f>
        <v/>
      </c>
      <c r="U8" s="13" t="inlineStr">
        <is>
          <t>200</t>
        </is>
      </c>
      <c r="V8" s="13" t="inlineStr">
        <is>
          <t>[V]</t>
        </is>
      </c>
      <c r="W8" s="22" t="inlineStr">
        <is>
          <t>Tianjin Kingnod BC-234BV $11-15, 5/caja — kingnodfurniture.en.made-in-china.com</t>
        </is>
      </c>
    </row>
    <row r="9">
      <c r="A9" s="12" t="inlineStr">
        <is>
          <t>EQP-202</t>
        </is>
      </c>
      <c r="B9" s="13" t="inlineStr">
        <is>
          <t>Banco Ámbar</t>
        </is>
      </c>
      <c r="C9" s="13" t="inlineStr">
        <is>
          <t>bancos</t>
        </is>
      </c>
      <c r="D9" s="14" t="n">
        <v>14</v>
      </c>
      <c r="E9" s="15" t="n">
        <v>0.09</v>
      </c>
      <c r="F9" s="16">
        <f>ROUNDDOWN(PARAMETROS!$B$10/E9,0)</f>
        <v/>
      </c>
      <c r="G9" s="17">
        <f>PARAMETROS!$B$4/F9</f>
        <v/>
      </c>
      <c r="H9" s="17">
        <f>D9*PARAMETROS!$B$5</f>
        <v/>
      </c>
      <c r="I9" s="17">
        <f>D9+G9+H9</f>
        <v/>
      </c>
      <c r="J9" s="17">
        <f>I9*PARAMETROS!$B$6</f>
        <v/>
      </c>
      <c r="K9" s="17">
        <f>I9*PARAMETROS!$B$7</f>
        <v/>
      </c>
      <c r="L9" s="17">
        <f>(PARAMETROS!$B$8+PARAMETROS!$B$9)/F9</f>
        <v/>
      </c>
      <c r="M9" s="17">
        <f>I9+J9+K9+L9</f>
        <v/>
      </c>
      <c r="N9" s="18">
        <f>M9*PARAMETROS!$B$3</f>
        <v/>
      </c>
      <c r="O9" s="19" t="n">
        <v>1290</v>
      </c>
      <c r="P9" s="19" t="n">
        <v>1590</v>
      </c>
      <c r="Q9" s="20">
        <f>O9-N9</f>
        <v/>
      </c>
      <c r="R9" s="21">
        <f>IF(O9=0,0,Q9/O9)</f>
        <v/>
      </c>
      <c r="S9" s="20">
        <f>P9-N9</f>
        <v/>
      </c>
      <c r="T9" s="21">
        <f>IF(P9=0,0,S9/P9)</f>
        <v/>
      </c>
      <c r="U9" s="13" t="inlineStr">
        <is>
          <t>200</t>
        </is>
      </c>
      <c r="V9" s="13" t="inlineStr">
        <is>
          <t>[V]</t>
        </is>
      </c>
      <c r="W9" s="22" t="inlineStr">
        <is>
          <t>Tianjin Kingnod $9.65-18.55</t>
        </is>
      </c>
    </row>
    <row r="10">
      <c r="A10" s="12" t="inlineStr">
        <is>
          <t>EQP-203</t>
        </is>
      </c>
      <c r="B10" s="13" t="inlineStr">
        <is>
          <t>Banco Cuero</t>
        </is>
      </c>
      <c r="C10" s="13" t="inlineStr">
        <is>
          <t>bancos</t>
        </is>
      </c>
      <c r="D10" s="14" t="n">
        <v>40</v>
      </c>
      <c r="E10" s="15" t="n">
        <v>0.3</v>
      </c>
      <c r="F10" s="16">
        <f>ROUNDDOWN(PARAMETROS!$B$10/E10,0)</f>
        <v/>
      </c>
      <c r="G10" s="17">
        <f>PARAMETROS!$B$4/F10</f>
        <v/>
      </c>
      <c r="H10" s="17">
        <f>D10*PARAMETROS!$B$5</f>
        <v/>
      </c>
      <c r="I10" s="17">
        <f>D10+G10+H10</f>
        <v/>
      </c>
      <c r="J10" s="17">
        <f>I10*PARAMETROS!$B$6</f>
        <v/>
      </c>
      <c r="K10" s="17">
        <f>I10*PARAMETROS!$B$7</f>
        <v/>
      </c>
      <c r="L10" s="17">
        <f>(PARAMETROS!$B$8+PARAMETROS!$B$9)/F10</f>
        <v/>
      </c>
      <c r="M10" s="17">
        <f>I10+J10+K10+L10</f>
        <v/>
      </c>
      <c r="N10" s="18">
        <f>M10*PARAMETROS!$B$3</f>
        <v/>
      </c>
      <c r="O10" s="19" t="n">
        <v>2690</v>
      </c>
      <c r="P10" s="19" t="n">
        <v>3190</v>
      </c>
      <c r="Q10" s="20">
        <f>O10-N10</f>
        <v/>
      </c>
      <c r="R10" s="21">
        <f>IF(O10=0,0,Q10/O10)</f>
        <v/>
      </c>
      <c r="S10" s="20">
        <f>P10-N10</f>
        <v/>
      </c>
      <c r="T10" s="21">
        <f>IF(P10=0,0,S10/P10)</f>
        <v/>
      </c>
      <c r="U10" s="13" t="inlineStr">
        <is>
          <t>20</t>
        </is>
      </c>
      <c r="V10" s="13" t="inlineStr">
        <is>
          <t>[E]</t>
        </is>
      </c>
      <c r="W10" s="22" t="inlineStr">
        <is>
          <t>Serenity Made (Guangzhou), gama $40-80, 0.30 CBM [V]</t>
        </is>
      </c>
    </row>
    <row r="11">
      <c r="A11" s="12" t="inlineStr">
        <is>
          <t>EQP-204</t>
        </is>
      </c>
      <c r="B11" s="13" t="inlineStr">
        <is>
          <t>Banco Faro</t>
        </is>
      </c>
      <c r="C11" s="13" t="inlineStr">
        <is>
          <t>bancos</t>
        </is>
      </c>
      <c r="D11" s="14" t="n">
        <v>10</v>
      </c>
      <c r="E11" s="15" t="n">
        <v>0.09</v>
      </c>
      <c r="F11" s="16">
        <f>ROUNDDOWN(PARAMETROS!$B$10/E11,0)</f>
        <v/>
      </c>
      <c r="G11" s="17">
        <f>PARAMETROS!$B$4/F11</f>
        <v/>
      </c>
      <c r="H11" s="17">
        <f>D11*PARAMETROS!$B$5</f>
        <v/>
      </c>
      <c r="I11" s="17">
        <f>D11+G11+H11</f>
        <v/>
      </c>
      <c r="J11" s="17">
        <f>I11*PARAMETROS!$B$6</f>
        <v/>
      </c>
      <c r="K11" s="17">
        <f>I11*PARAMETROS!$B$7</f>
        <v/>
      </c>
      <c r="L11" s="17">
        <f>(PARAMETROS!$B$8+PARAMETROS!$B$9)/F11</f>
        <v/>
      </c>
      <c r="M11" s="17">
        <f>I11+J11+K11+L11</f>
        <v/>
      </c>
      <c r="N11" s="18">
        <f>M11*PARAMETROS!$B$3</f>
        <v/>
      </c>
      <c r="O11" s="19" t="n">
        <v>1090</v>
      </c>
      <c r="P11" s="19" t="n">
        <v>1290</v>
      </c>
      <c r="Q11" s="20">
        <f>O11-N11</f>
        <v/>
      </c>
      <c r="R11" s="21">
        <f>IF(O11=0,0,Q11/O11)</f>
        <v/>
      </c>
      <c r="S11" s="20">
        <f>P11-N11</f>
        <v/>
      </c>
      <c r="T11" s="21">
        <f>IF(P11=0,0,S11/P11)</f>
        <v/>
      </c>
      <c r="U11" s="13" t="inlineStr">
        <is>
          <t>500</t>
        </is>
      </c>
      <c r="V11" s="13" t="inlineStr">
        <is>
          <t>[V]</t>
        </is>
      </c>
      <c r="W11" s="22" t="inlineStr">
        <is>
          <t>Langfang Bingwei $7.50-13.80 (Gold 2025 — pedir auditoría)</t>
        </is>
      </c>
    </row>
    <row r="12">
      <c r="A12" s="12" t="inlineStr">
        <is>
          <t>EQP-205</t>
        </is>
      </c>
      <c r="B12" s="13" t="inlineStr">
        <is>
          <t>Banco Eje</t>
        </is>
      </c>
      <c r="C12" s="13" t="inlineStr">
        <is>
          <t>bancos</t>
        </is>
      </c>
      <c r="D12" s="14" t="n">
        <v>22</v>
      </c>
      <c r="E12" s="15" t="n">
        <v>0.1</v>
      </c>
      <c r="F12" s="16">
        <f>ROUNDDOWN(PARAMETROS!$B$10/E12,0)</f>
        <v/>
      </c>
      <c r="G12" s="17">
        <f>PARAMETROS!$B$4/F12</f>
        <v/>
      </c>
      <c r="H12" s="17">
        <f>D12*PARAMETROS!$B$5</f>
        <v/>
      </c>
      <c r="I12" s="17">
        <f>D12+G12+H12</f>
        <v/>
      </c>
      <c r="J12" s="17">
        <f>I12*PARAMETROS!$B$6</f>
        <v/>
      </c>
      <c r="K12" s="17">
        <f>I12*PARAMETROS!$B$7</f>
        <v/>
      </c>
      <c r="L12" s="17">
        <f>(PARAMETROS!$B$8+PARAMETROS!$B$9)/F12</f>
        <v/>
      </c>
      <c r="M12" s="17">
        <f>I12+J12+K12+L12</f>
        <v/>
      </c>
      <c r="N12" s="18">
        <f>M12*PARAMETROS!$B$3</f>
        <v/>
      </c>
      <c r="O12" s="19" t="n">
        <v>1490</v>
      </c>
      <c r="P12" s="19" t="n">
        <v>1690</v>
      </c>
      <c r="Q12" s="20">
        <f>O12-N12</f>
        <v/>
      </c>
      <c r="R12" s="21">
        <f>IF(O12=0,0,Q12/O12)</f>
        <v/>
      </c>
      <c r="S12" s="20">
        <f>P12-N12</f>
        <v/>
      </c>
      <c r="T12" s="21">
        <f>IF(P12=0,0,S12/P12)</f>
        <v/>
      </c>
      <c r="U12" s="13" t="inlineStr">
        <is>
          <t>100</t>
        </is>
      </c>
      <c r="V12" s="13" t="inlineStr">
        <is>
          <t>[V]</t>
        </is>
      </c>
      <c r="W12" s="22" t="inlineStr">
        <is>
          <t>Anji Zhenguan ZG18-019 $18-26</t>
        </is>
      </c>
    </row>
    <row r="13">
      <c r="A13" s="12" t="inlineStr">
        <is>
          <t>EQP-301</t>
        </is>
      </c>
      <c r="B13" s="13" t="inlineStr">
        <is>
          <t>Mesa Encino</t>
        </is>
      </c>
      <c r="C13" s="13" t="inlineStr">
        <is>
          <t>mesas</t>
        </is>
      </c>
      <c r="D13" s="14" t="n">
        <v>60</v>
      </c>
      <c r="E13" s="15" t="n">
        <v>0.2</v>
      </c>
      <c r="F13" s="16">
        <f>ROUNDDOWN(PARAMETROS!$B$10/E13,0)</f>
        <v/>
      </c>
      <c r="G13" s="17">
        <f>PARAMETROS!$B$4/F13</f>
        <v/>
      </c>
      <c r="H13" s="17">
        <f>D13*PARAMETROS!$B$5</f>
        <v/>
      </c>
      <c r="I13" s="17">
        <f>D13+G13+H13</f>
        <v/>
      </c>
      <c r="J13" s="17">
        <f>I13*PARAMETROS!$B$6</f>
        <v/>
      </c>
      <c r="K13" s="17">
        <f>I13*PARAMETROS!$B$7</f>
        <v/>
      </c>
      <c r="L13" s="17">
        <f>(PARAMETROS!$B$8+PARAMETROS!$B$9)/F13</f>
        <v/>
      </c>
      <c r="M13" s="17">
        <f>I13+J13+K13+L13</f>
        <v/>
      </c>
      <c r="N13" s="18">
        <f>M13*PARAMETROS!$B$3</f>
        <v/>
      </c>
      <c r="O13" s="19" t="n">
        <v>3190</v>
      </c>
      <c r="P13" s="19" t="n">
        <v>3690</v>
      </c>
      <c r="Q13" s="20">
        <f>O13-N13</f>
        <v/>
      </c>
      <c r="R13" s="21">
        <f>IF(O13=0,0,Q13/O13)</f>
        <v/>
      </c>
      <c r="S13" s="20">
        <f>P13-N13</f>
        <v/>
      </c>
      <c r="T13" s="21">
        <f>IF(P13=0,0,S13/P13)</f>
        <v/>
      </c>
      <c r="U13" s="13" t="inlineStr">
        <is>
          <t>20</t>
        </is>
      </c>
      <c r="V13" s="13" t="inlineStr">
        <is>
          <t>[V]</t>
        </is>
      </c>
      <c r="W13" s="22" t="inlineStr">
        <is>
          <t>Zhongshan Uptop $30-80 / Foshan Ron $39.90-139</t>
        </is>
      </c>
    </row>
    <row r="14">
      <c r="A14" s="12" t="inlineStr">
        <is>
          <t>EQP-302</t>
        </is>
      </c>
      <c r="B14" s="13" t="inlineStr">
        <is>
          <t>Mesa Luna</t>
        </is>
      </c>
      <c r="C14" s="13" t="inlineStr">
        <is>
          <t>mesas</t>
        </is>
      </c>
      <c r="D14" s="14" t="n">
        <v>45</v>
      </c>
      <c r="E14" s="15" t="n">
        <v>0.15</v>
      </c>
      <c r="F14" s="16">
        <f>ROUNDDOWN(PARAMETROS!$B$10/E14,0)</f>
        <v/>
      </c>
      <c r="G14" s="17">
        <f>PARAMETROS!$B$4/F14</f>
        <v/>
      </c>
      <c r="H14" s="17">
        <f>D14*PARAMETROS!$B$5</f>
        <v/>
      </c>
      <c r="I14" s="17">
        <f>D14+G14+H14</f>
        <v/>
      </c>
      <c r="J14" s="17">
        <f>I14*PARAMETROS!$B$6</f>
        <v/>
      </c>
      <c r="K14" s="17">
        <f>I14*PARAMETROS!$B$7</f>
        <v/>
      </c>
      <c r="L14" s="17">
        <f>(PARAMETROS!$B$8+PARAMETROS!$B$9)/F14</f>
        <v/>
      </c>
      <c r="M14" s="17">
        <f>I14+J14+K14+L14</f>
        <v/>
      </c>
      <c r="N14" s="18">
        <f>M14*PARAMETROS!$B$3</f>
        <v/>
      </c>
      <c r="O14" s="19" t="n">
        <v>2290</v>
      </c>
      <c r="P14" s="19" t="n">
        <v>2690</v>
      </c>
      <c r="Q14" s="20">
        <f>O14-N14</f>
        <v/>
      </c>
      <c r="R14" s="21">
        <f>IF(O14=0,0,Q14/O14)</f>
        <v/>
      </c>
      <c r="S14" s="20">
        <f>P14-N14</f>
        <v/>
      </c>
      <c r="T14" s="21">
        <f>IF(P14=0,0,S14/P14)</f>
        <v/>
      </c>
      <c r="U14" s="13" t="inlineStr">
        <is>
          <t>20</t>
        </is>
      </c>
      <c r="V14" s="13" t="inlineStr">
        <is>
          <t>[V]</t>
        </is>
      </c>
      <c r="W14" s="22" t="inlineStr">
        <is>
          <t>Foshan Hexiang $35-60</t>
        </is>
      </c>
    </row>
    <row r="15">
      <c r="A15" s="12" t="inlineStr">
        <is>
          <t>EQP-303</t>
        </is>
      </c>
      <c r="B15" s="13" t="inlineStr">
        <is>
          <t>Mesa Mármol</t>
        </is>
      </c>
      <c r="C15" s="13" t="inlineStr">
        <is>
          <t>mesas</t>
        </is>
      </c>
      <c r="D15" s="14" t="n">
        <v>75</v>
      </c>
      <c r="E15" s="15" t="n">
        <v>0.25</v>
      </c>
      <c r="F15" s="16">
        <f>ROUNDDOWN(PARAMETROS!$B$10/E15,0)</f>
        <v/>
      </c>
      <c r="G15" s="17">
        <f>PARAMETROS!$B$4/F15</f>
        <v/>
      </c>
      <c r="H15" s="17">
        <f>D15*PARAMETROS!$B$5</f>
        <v/>
      </c>
      <c r="I15" s="17">
        <f>D15+G15+H15</f>
        <v/>
      </c>
      <c r="J15" s="17">
        <f>I15*PARAMETROS!$B$6</f>
        <v/>
      </c>
      <c r="K15" s="17">
        <f>I15*PARAMETROS!$B$7</f>
        <v/>
      </c>
      <c r="L15" s="17">
        <f>(PARAMETROS!$B$8+PARAMETROS!$B$9)/F15</f>
        <v/>
      </c>
      <c r="M15" s="17">
        <f>I15+J15+K15+L15</f>
        <v/>
      </c>
      <c r="N15" s="18">
        <f>M15*PARAMETROS!$B$3</f>
        <v/>
      </c>
      <c r="O15" s="19" t="n">
        <v>3790</v>
      </c>
      <c r="P15" s="19" t="n">
        <v>4490</v>
      </c>
      <c r="Q15" s="20">
        <f>O15-N15</f>
        <v/>
      </c>
      <c r="R15" s="21">
        <f>IF(O15=0,0,Q15/O15)</f>
        <v/>
      </c>
      <c r="S15" s="20">
        <f>P15-N15</f>
        <v/>
      </c>
      <c r="T15" s="21">
        <f>IF(P15=0,0,S15/P15)</f>
        <v/>
      </c>
      <c r="U15" s="13" t="inlineStr">
        <is>
          <t>5</t>
        </is>
      </c>
      <c r="V15" s="13" t="inlineStr">
        <is>
          <t>[E]</t>
        </is>
      </c>
      <c r="W15" s="22" t="inlineStr">
        <is>
          <t>Foshan Hexiang (mármol/madera $35-60 + premium mármol)</t>
        </is>
      </c>
    </row>
    <row r="16">
      <c r="A16" s="12" t="inlineStr">
        <is>
          <t>EQP-304</t>
        </is>
      </c>
      <c r="B16" s="13" t="inlineStr">
        <is>
          <t>Set Comedor Nara</t>
        </is>
      </c>
      <c r="C16" s="13" t="inlineStr">
        <is>
          <t>mesas</t>
        </is>
      </c>
      <c r="D16" s="14" t="n">
        <v>150</v>
      </c>
      <c r="E16" s="15" t="n">
        <v>0.65</v>
      </c>
      <c r="F16" s="16">
        <f>ROUNDDOWN(PARAMETROS!$B$10/E16,0)</f>
        <v/>
      </c>
      <c r="G16" s="17">
        <f>PARAMETROS!$B$4/F16</f>
        <v/>
      </c>
      <c r="H16" s="17">
        <f>D16*PARAMETROS!$B$5</f>
        <v/>
      </c>
      <c r="I16" s="17">
        <f>D16+G16+H16</f>
        <v/>
      </c>
      <c r="J16" s="17">
        <f>I16*PARAMETROS!$B$6</f>
        <v/>
      </c>
      <c r="K16" s="17">
        <f>I16*PARAMETROS!$B$7</f>
        <v/>
      </c>
      <c r="L16" s="17">
        <f>(PARAMETROS!$B$8+PARAMETROS!$B$9)/F16</f>
        <v/>
      </c>
      <c r="M16" s="17">
        <f>I16+J16+K16+L16</f>
        <v/>
      </c>
      <c r="N16" s="18">
        <f>M16*PARAMETROS!$B$3</f>
        <v/>
      </c>
      <c r="O16" s="19" t="n">
        <v>8490</v>
      </c>
      <c r="P16" s="19" t="n">
        <v>9990</v>
      </c>
      <c r="Q16" s="20">
        <f>O16-N16</f>
        <v/>
      </c>
      <c r="R16" s="21">
        <f>IF(O16=0,0,Q16/O16)</f>
        <v/>
      </c>
      <c r="S16" s="20">
        <f>P16-N16</f>
        <v/>
      </c>
      <c r="T16" s="21">
        <f>IF(P16=0,0,S16/P16)</f>
        <v/>
      </c>
      <c r="U16" s="13" t="inlineStr">
        <is>
          <t>2 sets</t>
        </is>
      </c>
      <c r="V16" s="13" t="inlineStr">
        <is>
          <t>[E]</t>
        </is>
      </c>
      <c r="W16" s="22" t="inlineStr">
        <is>
          <t>Combo Uptop mesa $60 + 4 sillas Okay $26</t>
        </is>
      </c>
    </row>
    <row r="17">
      <c r="A17" s="12" t="inlineStr">
        <is>
          <t>EQP-401</t>
        </is>
      </c>
      <c r="B17" s="13" t="inlineStr">
        <is>
          <t>Sillón Cognac</t>
        </is>
      </c>
      <c r="C17" s="13" t="inlineStr">
        <is>
          <t>sillones</t>
        </is>
      </c>
      <c r="D17" s="14" t="n">
        <v>145</v>
      </c>
      <c r="E17" s="15" t="n">
        <v>0.45</v>
      </c>
      <c r="F17" s="16">
        <f>ROUNDDOWN(PARAMETROS!$B$10/E17,0)</f>
        <v/>
      </c>
      <c r="G17" s="17">
        <f>PARAMETROS!$B$4/F17</f>
        <v/>
      </c>
      <c r="H17" s="17">
        <f>D17*PARAMETROS!$B$5</f>
        <v/>
      </c>
      <c r="I17" s="17">
        <f>D17+G17+H17</f>
        <v/>
      </c>
      <c r="J17" s="17">
        <f>I17*PARAMETROS!$B$6</f>
        <v/>
      </c>
      <c r="K17" s="17">
        <f>I17*PARAMETROS!$B$7</f>
        <v/>
      </c>
      <c r="L17" s="17">
        <f>(PARAMETROS!$B$8+PARAMETROS!$B$9)/F17</f>
        <v/>
      </c>
      <c r="M17" s="17">
        <f>I17+J17+K17+L17</f>
        <v/>
      </c>
      <c r="N17" s="18">
        <f>M17*PARAMETROS!$B$3</f>
        <v/>
      </c>
      <c r="O17" s="19" t="n">
        <v>7190</v>
      </c>
      <c r="P17" s="19" t="n">
        <v>8490</v>
      </c>
      <c r="Q17" s="20">
        <f>O17-N17</f>
        <v/>
      </c>
      <c r="R17" s="21">
        <f>IF(O17=0,0,Q17/O17)</f>
        <v/>
      </c>
      <c r="S17" s="20">
        <f>P17-N17</f>
        <v/>
      </c>
      <c r="T17" s="21">
        <f>IF(P17=0,0,S17/P17)</f>
        <v/>
      </c>
      <c r="U17" s="13" t="inlineStr">
        <is>
          <t>10</t>
        </is>
      </c>
      <c r="V17" s="13" t="inlineStr">
        <is>
          <t>[V]</t>
        </is>
      </c>
      <c r="W17" s="22" t="inlineStr">
        <is>
          <t>Shanghai Miaolian PU lounge $143</t>
        </is>
      </c>
    </row>
    <row r="18">
      <c r="A18" s="12" t="inlineStr">
        <is>
          <t>EQP-402</t>
        </is>
      </c>
      <c r="B18" s="13" t="inlineStr">
        <is>
          <t>Sillón Chester</t>
        </is>
      </c>
      <c r="C18" s="13" t="inlineStr">
        <is>
          <t>sillones</t>
        </is>
      </c>
      <c r="D18" s="14" t="n">
        <v>130</v>
      </c>
      <c r="E18" s="15" t="n">
        <v>0.45</v>
      </c>
      <c r="F18" s="16">
        <f>ROUNDDOWN(PARAMETROS!$B$10/E18,0)</f>
        <v/>
      </c>
      <c r="G18" s="17">
        <f>PARAMETROS!$B$4/F18</f>
        <v/>
      </c>
      <c r="H18" s="17">
        <f>D18*PARAMETROS!$B$5</f>
        <v/>
      </c>
      <c r="I18" s="17">
        <f>D18+G18+H18</f>
        <v/>
      </c>
      <c r="J18" s="17">
        <f>I18*PARAMETROS!$B$6</f>
        <v/>
      </c>
      <c r="K18" s="17">
        <f>I18*PARAMETROS!$B$7</f>
        <v/>
      </c>
      <c r="L18" s="17">
        <f>(PARAMETROS!$B$8+PARAMETROS!$B$9)/F18</f>
        <v/>
      </c>
      <c r="M18" s="17">
        <f>I18+J18+K18+L18</f>
        <v/>
      </c>
      <c r="N18" s="18">
        <f>M18*PARAMETROS!$B$3</f>
        <v/>
      </c>
      <c r="O18" s="19" t="n">
        <v>6690</v>
      </c>
      <c r="P18" s="19" t="n">
        <v>7890</v>
      </c>
      <c r="Q18" s="20">
        <f>O18-N18</f>
        <v/>
      </c>
      <c r="R18" s="21">
        <f>IF(O18=0,0,Q18/O18)</f>
        <v/>
      </c>
      <c r="S18" s="20">
        <f>P18-N18</f>
        <v/>
      </c>
      <c r="T18" s="21">
        <f>IF(P18=0,0,S18/P18)</f>
        <v/>
      </c>
      <c r="U18" s="13" t="inlineStr">
        <is>
          <t>10</t>
        </is>
      </c>
      <c r="V18" s="13" t="inlineStr">
        <is>
          <t>[E]</t>
        </is>
      </c>
      <c r="W18" s="22" t="inlineStr">
        <is>
          <t>Interpolado Miaolian/Atunus</t>
        </is>
      </c>
    </row>
    <row r="19">
      <c r="A19" s="12" t="inlineStr">
        <is>
          <t>EQP-403</t>
        </is>
      </c>
      <c r="B19" s="13" t="inlineStr">
        <is>
          <t>Sillón Sol</t>
        </is>
      </c>
      <c r="C19" s="13" t="inlineStr">
        <is>
          <t>sillones</t>
        </is>
      </c>
      <c r="D19" s="14" t="n">
        <v>60</v>
      </c>
      <c r="E19" s="15" t="n">
        <v>0.4</v>
      </c>
      <c r="F19" s="16">
        <f>ROUNDDOWN(PARAMETROS!$B$10/E19,0)</f>
        <v/>
      </c>
      <c r="G19" s="17">
        <f>PARAMETROS!$B$4/F19</f>
        <v/>
      </c>
      <c r="H19" s="17">
        <f>D19*PARAMETROS!$B$5</f>
        <v/>
      </c>
      <c r="I19" s="17">
        <f>D19+G19+H19</f>
        <v/>
      </c>
      <c r="J19" s="17">
        <f>I19*PARAMETROS!$B$6</f>
        <v/>
      </c>
      <c r="K19" s="17">
        <f>I19*PARAMETROS!$B$7</f>
        <v/>
      </c>
      <c r="L19" s="17">
        <f>(PARAMETROS!$B$8+PARAMETROS!$B$9)/F19</f>
        <v/>
      </c>
      <c r="M19" s="17">
        <f>I19+J19+K19+L19</f>
        <v/>
      </c>
      <c r="N19" s="18">
        <f>M19*PARAMETROS!$B$3</f>
        <v/>
      </c>
      <c r="O19" s="19" t="n">
        <v>3890</v>
      </c>
      <c r="P19" s="19" t="n">
        <v>4590</v>
      </c>
      <c r="Q19" s="20">
        <f>O19-N19</f>
        <v/>
      </c>
      <c r="R19" s="21">
        <f>IF(O19=0,0,Q19/O19)</f>
        <v/>
      </c>
      <c r="S19" s="20">
        <f>P19-N19</f>
        <v/>
      </c>
      <c r="T19" s="21">
        <f>IF(P19=0,0,S19/P19)</f>
        <v/>
      </c>
      <c r="U19" s="13" t="inlineStr">
        <is>
          <t>100</t>
        </is>
      </c>
      <c r="V19" s="13" t="inlineStr">
        <is>
          <t>[V]</t>
        </is>
      </c>
      <c r="W19" s="22" t="inlineStr">
        <is>
          <t>Tianjin Bchair $35-39 (básico) / gama media</t>
        </is>
      </c>
    </row>
    <row r="20">
      <c r="A20" s="12" t="inlineStr">
        <is>
          <t>EQP-404</t>
        </is>
      </c>
      <c r="B20" s="13" t="inlineStr">
        <is>
          <t>Sillón Nido</t>
        </is>
      </c>
      <c r="C20" s="13" t="inlineStr">
        <is>
          <t>sillones</t>
        </is>
      </c>
      <c r="D20" s="14" t="n">
        <v>145</v>
      </c>
      <c r="E20" s="15" t="n">
        <v>0.45</v>
      </c>
      <c r="F20" s="16">
        <f>ROUNDDOWN(PARAMETROS!$B$10/E20,0)</f>
        <v/>
      </c>
      <c r="G20" s="17">
        <f>PARAMETROS!$B$4/F20</f>
        <v/>
      </c>
      <c r="H20" s="17">
        <f>D20*PARAMETROS!$B$5</f>
        <v/>
      </c>
      <c r="I20" s="17">
        <f>D20+G20+H20</f>
        <v/>
      </c>
      <c r="J20" s="17">
        <f>I20*PARAMETROS!$B$6</f>
        <v/>
      </c>
      <c r="K20" s="17">
        <f>I20*PARAMETROS!$B$7</f>
        <v/>
      </c>
      <c r="L20" s="17">
        <f>(PARAMETROS!$B$8+PARAMETROS!$B$9)/F20</f>
        <v/>
      </c>
      <c r="M20" s="17">
        <f>I20+J20+K20+L20</f>
        <v/>
      </c>
      <c r="N20" s="18">
        <f>M20*PARAMETROS!$B$3</f>
        <v/>
      </c>
      <c r="O20" s="19" t="n">
        <v>7190</v>
      </c>
      <c r="P20" s="19" t="n">
        <v>8490</v>
      </c>
      <c r="Q20" s="20">
        <f>O20-N20</f>
        <v/>
      </c>
      <c r="R20" s="21">
        <f>IF(O20=0,0,Q20/O20)</f>
        <v/>
      </c>
      <c r="S20" s="20">
        <f>P20-N20</f>
        <v/>
      </c>
      <c r="T20" s="21">
        <f>IF(P20=0,0,S20/P20)</f>
        <v/>
      </c>
      <c r="U20" s="13" t="inlineStr">
        <is>
          <t>80</t>
        </is>
      </c>
      <c r="V20" s="13" t="inlineStr">
        <is>
          <t>[V]</t>
        </is>
      </c>
      <c r="W20" s="22" t="inlineStr">
        <is>
          <t>Guangzhou Atunus bouclé $145 a 80+ ($109 a 1000+) — atunus.en.made-in-china.com</t>
        </is>
      </c>
    </row>
    <row r="21">
      <c r="A21" s="12" t="inlineStr">
        <is>
          <t>EQP-405</t>
        </is>
      </c>
      <c r="B21" s="13" t="inlineStr">
        <is>
          <t>Sillón Lino</t>
        </is>
      </c>
      <c r="C21" s="13" t="inlineStr">
        <is>
          <t>sillones</t>
        </is>
      </c>
      <c r="D21" s="14" t="n">
        <v>55</v>
      </c>
      <c r="E21" s="15" t="n">
        <v>0.35</v>
      </c>
      <c r="F21" s="16">
        <f>ROUNDDOWN(PARAMETROS!$B$10/E21,0)</f>
        <v/>
      </c>
      <c r="G21" s="17">
        <f>PARAMETROS!$B$4/F21</f>
        <v/>
      </c>
      <c r="H21" s="17">
        <f>D21*PARAMETROS!$B$5</f>
        <v/>
      </c>
      <c r="I21" s="17">
        <f>D21+G21+H21</f>
        <v/>
      </c>
      <c r="J21" s="17">
        <f>I21*PARAMETROS!$B$6</f>
        <v/>
      </c>
      <c r="K21" s="17">
        <f>I21*PARAMETROS!$B$7</f>
        <v/>
      </c>
      <c r="L21" s="17">
        <f>(PARAMETROS!$B$8+PARAMETROS!$B$9)/F21</f>
        <v/>
      </c>
      <c r="M21" s="17">
        <f>I21+J21+K21+L21</f>
        <v/>
      </c>
      <c r="N21" s="18">
        <f>M21*PARAMETROS!$B$3</f>
        <v/>
      </c>
      <c r="O21" s="19" t="n">
        <v>3490</v>
      </c>
      <c r="P21" s="19" t="n">
        <v>4190</v>
      </c>
      <c r="Q21" s="20">
        <f>O21-N21</f>
        <v/>
      </c>
      <c r="R21" s="21">
        <f>IF(O21=0,0,Q21/O21)</f>
        <v/>
      </c>
      <c r="S21" s="20">
        <f>P21-N21</f>
        <v/>
      </c>
      <c r="T21" s="21">
        <f>IF(P21=0,0,S21/P21)</f>
        <v/>
      </c>
      <c r="U21" s="13" t="inlineStr">
        <is>
          <t>50</t>
        </is>
      </c>
      <c r="V21" s="13" t="inlineStr">
        <is>
          <t>[E]</t>
        </is>
      </c>
      <c r="W21" s="22" t="inlineStr">
        <is>
          <t>Estimado gama madera/tejido</t>
        </is>
      </c>
    </row>
    <row r="22">
      <c r="A22" s="12" t="inlineStr">
        <is>
          <t>EQP-501</t>
        </is>
      </c>
      <c r="B22" s="13" t="inlineStr">
        <is>
          <t>Silla Operativa Lima</t>
        </is>
      </c>
      <c r="C22" s="13" t="inlineStr">
        <is>
          <t>oficina</t>
        </is>
      </c>
      <c r="D22" s="14" t="n">
        <v>42</v>
      </c>
      <c r="E22" s="15" t="n">
        <v>0.12</v>
      </c>
      <c r="F22" s="16">
        <f>ROUNDDOWN(PARAMETROS!$B$10/E22,0)</f>
        <v/>
      </c>
      <c r="G22" s="17">
        <f>PARAMETROS!$B$4/F22</f>
        <v/>
      </c>
      <c r="H22" s="17">
        <f>D22*PARAMETROS!$B$5</f>
        <v/>
      </c>
      <c r="I22" s="17">
        <f>D22+G22+H22</f>
        <v/>
      </c>
      <c r="J22" s="17">
        <f>I22*PARAMETROS!$B$6</f>
        <v/>
      </c>
      <c r="K22" s="17">
        <f>I22*PARAMETROS!$B$7</f>
        <v/>
      </c>
      <c r="L22" s="17">
        <f>(PARAMETROS!$B$8+PARAMETROS!$B$9)/F22</f>
        <v/>
      </c>
      <c r="M22" s="17">
        <f>I22+J22+K22+L22</f>
        <v/>
      </c>
      <c r="N22" s="18">
        <f>M22*PARAMETROS!$B$3</f>
        <v/>
      </c>
      <c r="O22" s="19" t="n">
        <v>2490</v>
      </c>
      <c r="P22" s="19" t="n">
        <v>2990</v>
      </c>
      <c r="Q22" s="20">
        <f>O22-N22</f>
        <v/>
      </c>
      <c r="R22" s="21">
        <f>IF(O22=0,0,Q22/O22)</f>
        <v/>
      </c>
      <c r="S22" s="20">
        <f>P22-N22</f>
        <v/>
      </c>
      <c r="T22" s="21">
        <f>IF(P22=0,0,S22/P22)</f>
        <v/>
      </c>
      <c r="U22" s="13" t="inlineStr">
        <is>
          <t>50</t>
        </is>
      </c>
      <c r="V22" s="13" t="inlineStr">
        <is>
          <t>[V]</t>
        </is>
      </c>
      <c r="W22" s="22" t="inlineStr">
        <is>
          <t>Foshan Zhongfayijia $39.99-49.99, 606/40'HQ — zhongfayijia.en.made-in-china.com</t>
        </is>
      </c>
    </row>
    <row r="23">
      <c r="A23" s="12" t="inlineStr">
        <is>
          <t>EQP-502</t>
        </is>
      </c>
      <c r="B23" s="13" t="inlineStr">
        <is>
          <t>Sillón Visita Ocre</t>
        </is>
      </c>
      <c r="C23" s="13" t="inlineStr">
        <is>
          <t>oficina</t>
        </is>
      </c>
      <c r="D23" s="14" t="n">
        <v>15</v>
      </c>
      <c r="E23" s="15" t="n">
        <v>0.11</v>
      </c>
      <c r="F23" s="16">
        <f>ROUNDDOWN(PARAMETROS!$B$10/E23,0)</f>
        <v/>
      </c>
      <c r="G23" s="17">
        <f>PARAMETROS!$B$4/F23</f>
        <v/>
      </c>
      <c r="H23" s="17">
        <f>D23*PARAMETROS!$B$5</f>
        <v/>
      </c>
      <c r="I23" s="17">
        <f>D23+G23+H23</f>
        <v/>
      </c>
      <c r="J23" s="17">
        <f>I23*PARAMETROS!$B$6</f>
        <v/>
      </c>
      <c r="K23" s="17">
        <f>I23*PARAMETROS!$B$7</f>
        <v/>
      </c>
      <c r="L23" s="17">
        <f>(PARAMETROS!$B$8+PARAMETROS!$B$9)/F23</f>
        <v/>
      </c>
      <c r="M23" s="17">
        <f>I23+J23+K23+L23</f>
        <v/>
      </c>
      <c r="N23" s="18">
        <f>M23*PARAMETROS!$B$3</f>
        <v/>
      </c>
      <c r="O23" s="19" t="n">
        <v>1890</v>
      </c>
      <c r="P23" s="19" t="n">
        <v>2190</v>
      </c>
      <c r="Q23" s="20">
        <f>O23-N23</f>
        <v/>
      </c>
      <c r="R23" s="21">
        <f>IF(O23=0,0,Q23/O23)</f>
        <v/>
      </c>
      <c r="S23" s="20">
        <f>P23-N23</f>
        <v/>
      </c>
      <c r="T23" s="21">
        <f>IF(P23=0,0,S23/P23)</f>
        <v/>
      </c>
      <c r="U23" s="13" t="inlineStr">
        <is>
          <t>100</t>
        </is>
      </c>
      <c r="V23" s="13" t="inlineStr">
        <is>
          <t>[V]</t>
        </is>
      </c>
      <c r="W23" s="22" t="inlineStr">
        <is>
          <t>Foshan Jinglin trineo $12.86-15.36</t>
        </is>
      </c>
    </row>
    <row r="24">
      <c r="A24" s="12" t="inlineStr">
        <is>
          <t>EQP-601</t>
        </is>
      </c>
      <c r="B24" s="13" t="inlineStr">
        <is>
          <t>Sofá Duna 3 Plazas</t>
        </is>
      </c>
      <c r="C24" s="13" t="inlineStr">
        <is>
          <t>sofas</t>
        </is>
      </c>
      <c r="D24" s="14" t="n">
        <v>220</v>
      </c>
      <c r="E24" s="15" t="n">
        <v>1</v>
      </c>
      <c r="F24" s="16">
        <f>ROUNDDOWN(PARAMETROS!$B$10/E24,0)</f>
        <v/>
      </c>
      <c r="G24" s="17">
        <f>PARAMETROS!$B$4/F24</f>
        <v/>
      </c>
      <c r="H24" s="17">
        <f>D24*PARAMETROS!$B$5</f>
        <v/>
      </c>
      <c r="I24" s="17">
        <f>D24+G24+H24</f>
        <v/>
      </c>
      <c r="J24" s="17">
        <f>I24*PARAMETROS!$B$6</f>
        <v/>
      </c>
      <c r="K24" s="17">
        <f>I24*PARAMETROS!$B$7</f>
        <v/>
      </c>
      <c r="L24" s="17">
        <f>(PARAMETROS!$B$8+PARAMETROS!$B$9)/F24</f>
        <v/>
      </c>
      <c r="M24" s="17">
        <f>I24+J24+K24+L24</f>
        <v/>
      </c>
      <c r="N24" s="18">
        <f>M24*PARAMETROS!$B$3</f>
        <v/>
      </c>
      <c r="O24" s="19" t="n">
        <v>12490</v>
      </c>
      <c r="P24" s="19" t="n">
        <v>14490</v>
      </c>
      <c r="Q24" s="20">
        <f>O24-N24</f>
        <v/>
      </c>
      <c r="R24" s="21">
        <f>IF(O24=0,0,Q24/O24)</f>
        <v/>
      </c>
      <c r="S24" s="20">
        <f>P24-N24</f>
        <v/>
      </c>
      <c r="T24" s="21">
        <f>IF(P24=0,0,S24/P24)</f>
        <v/>
      </c>
      <c r="U24" s="13" t="inlineStr">
        <is>
          <t>5 sets</t>
        </is>
      </c>
      <c r="V24" s="13" t="inlineStr">
        <is>
          <t>[V]</t>
        </is>
      </c>
      <c r="W24" s="22" t="inlineStr">
        <is>
          <t>Guangdong Zhida $150-280/set, espuma 40/45 — zhidafurniture.en.made-in-china.com</t>
        </is>
      </c>
    </row>
    <row r="25">
      <c r="A25" s="12" t="inlineStr">
        <is>
          <t>EQP-602</t>
        </is>
      </c>
      <c r="B25" s="13" t="inlineStr">
        <is>
          <t>Sofá Polar Piel</t>
        </is>
      </c>
      <c r="C25" s="13" t="inlineStr">
        <is>
          <t>sofas</t>
        </is>
      </c>
      <c r="D25" s="14" t="n">
        <v>250</v>
      </c>
      <c r="E25" s="15" t="n">
        <v>1</v>
      </c>
      <c r="F25" s="16">
        <f>ROUNDDOWN(PARAMETROS!$B$10/E25,0)</f>
        <v/>
      </c>
      <c r="G25" s="17">
        <f>PARAMETROS!$B$4/F25</f>
        <v/>
      </c>
      <c r="H25" s="17">
        <f>D25*PARAMETROS!$B$5</f>
        <v/>
      </c>
      <c r="I25" s="17">
        <f>D25+G25+H25</f>
        <v/>
      </c>
      <c r="J25" s="17">
        <f>I25*PARAMETROS!$B$6</f>
        <v/>
      </c>
      <c r="K25" s="17">
        <f>I25*PARAMETROS!$B$7</f>
        <v/>
      </c>
      <c r="L25" s="17">
        <f>(PARAMETROS!$B$8+PARAMETROS!$B$9)/F25</f>
        <v/>
      </c>
      <c r="M25" s="17">
        <f>I25+J25+K25+L25</f>
        <v/>
      </c>
      <c r="N25" s="18">
        <f>M25*PARAMETROS!$B$3</f>
        <v/>
      </c>
      <c r="O25" s="19" t="n">
        <v>13490</v>
      </c>
      <c r="P25" s="19" t="n">
        <v>15990</v>
      </c>
      <c r="Q25" s="20">
        <f>O25-N25</f>
        <v/>
      </c>
      <c r="R25" s="21">
        <f>IF(O25=0,0,Q25/O25)</f>
        <v/>
      </c>
      <c r="S25" s="20">
        <f>P25-N25</f>
        <v/>
      </c>
      <c r="T25" s="21">
        <f>IF(P25=0,0,S25/P25)</f>
        <v/>
      </c>
      <c r="U25" s="13" t="inlineStr">
        <is>
          <t>5 sets</t>
        </is>
      </c>
      <c r="V25" s="13" t="inlineStr">
        <is>
          <t>[V]</t>
        </is>
      </c>
      <c r="W25" s="22" t="inlineStr">
        <is>
          <t>Guangdong Zhida (piel/lobby)</t>
        </is>
      </c>
    </row>
    <row r="26">
      <c r="A26" s="12" t="inlineStr">
        <is>
          <t>EQP-603</t>
        </is>
      </c>
      <c r="B26" s="13" t="inlineStr">
        <is>
          <t>Sofá Bruma 2 Plazas</t>
        </is>
      </c>
      <c r="C26" s="13" t="inlineStr">
        <is>
          <t>sofas</t>
        </is>
      </c>
      <c r="D26" s="14" t="n">
        <v>180</v>
      </c>
      <c r="E26" s="15" t="n">
        <v>0.8</v>
      </c>
      <c r="F26" s="16">
        <f>ROUNDDOWN(PARAMETROS!$B$10/E26,0)</f>
        <v/>
      </c>
      <c r="G26" s="17">
        <f>PARAMETROS!$B$4/F26</f>
        <v/>
      </c>
      <c r="H26" s="17">
        <f>D26*PARAMETROS!$B$5</f>
        <v/>
      </c>
      <c r="I26" s="17">
        <f>D26+G26+H26</f>
        <v/>
      </c>
      <c r="J26" s="17">
        <f>I26*PARAMETROS!$B$6</f>
        <v/>
      </c>
      <c r="K26" s="17">
        <f>I26*PARAMETROS!$B$7</f>
        <v/>
      </c>
      <c r="L26" s="17">
        <f>(PARAMETROS!$B$8+PARAMETROS!$B$9)/F26</f>
        <v/>
      </c>
      <c r="M26" s="17">
        <f>I26+J26+K26+L26</f>
        <v/>
      </c>
      <c r="N26" s="18">
        <f>M26*PARAMETROS!$B$3</f>
        <v/>
      </c>
      <c r="O26" s="19" t="n">
        <v>9990</v>
      </c>
      <c r="P26" s="19" t="n">
        <v>11690</v>
      </c>
      <c r="Q26" s="20">
        <f>O26-N26</f>
        <v/>
      </c>
      <c r="R26" s="21">
        <f>IF(O26=0,0,Q26/O26)</f>
        <v/>
      </c>
      <c r="S26" s="20">
        <f>P26-N26</f>
        <v/>
      </c>
      <c r="T26" s="21">
        <f>IF(P26=0,0,S26/P26)</f>
        <v/>
      </c>
      <c r="U26" s="13" t="inlineStr">
        <is>
          <t>5 sets</t>
        </is>
      </c>
      <c r="V26" s="13" t="inlineStr">
        <is>
          <t>[V]</t>
        </is>
      </c>
      <c r="W26" s="22" t="inlineStr">
        <is>
          <t>Guangdong Zhida 2 plazas 186x97x85</t>
        </is>
      </c>
    </row>
    <row r="27">
      <c r="A27" s="12" t="inlineStr">
        <is>
          <t>EQP-701</t>
        </is>
      </c>
      <c r="B27" s="13" t="inlineStr">
        <is>
          <t>Sillón Ejecutivo Malla Pro</t>
        </is>
      </c>
      <c r="C27" s="13" t="inlineStr">
        <is>
          <t>ejecutivas</t>
        </is>
      </c>
      <c r="D27" s="14" t="n">
        <v>70</v>
      </c>
      <c r="E27" s="15" t="n">
        <v>0.16</v>
      </c>
      <c r="F27" s="16">
        <f>ROUNDDOWN(PARAMETROS!$B$10/E27,0)</f>
        <v/>
      </c>
      <c r="G27" s="17">
        <f>PARAMETROS!$B$4/F27</f>
        <v/>
      </c>
      <c r="H27" s="17">
        <f>D27*PARAMETROS!$B$5</f>
        <v/>
      </c>
      <c r="I27" s="17">
        <f>D27+G27+H27</f>
        <v/>
      </c>
      <c r="J27" s="17">
        <f>I27*PARAMETROS!$B$6</f>
        <v/>
      </c>
      <c r="K27" s="17">
        <f>I27*PARAMETROS!$B$7</f>
        <v/>
      </c>
      <c r="L27" s="17">
        <f>(PARAMETROS!$B$8+PARAMETROS!$B$9)/F27</f>
        <v/>
      </c>
      <c r="M27" s="17">
        <f>I27+J27+K27+L27</f>
        <v/>
      </c>
      <c r="N27" s="18">
        <f>M27*PARAMETROS!$B$3</f>
        <v/>
      </c>
      <c r="O27" s="19" t="n">
        <v>3490</v>
      </c>
      <c r="P27" s="19" t="n">
        <v>4190</v>
      </c>
      <c r="Q27" s="20">
        <f>O27-N27</f>
        <v/>
      </c>
      <c r="R27" s="21">
        <f>IF(O27=0,0,Q27/O27)</f>
        <v/>
      </c>
      <c r="S27" s="20">
        <f>P27-N27</f>
        <v/>
      </c>
      <c r="T27" s="21">
        <f>IF(P27=0,0,S27/P27)</f>
        <v/>
      </c>
      <c r="U27" s="13" t="inlineStr">
        <is>
          <t>5-20</t>
        </is>
      </c>
      <c r="V27" s="13" t="inlineStr">
        <is>
          <t>[V]</t>
        </is>
      </c>
      <c r="W27" s="22" t="inlineStr">
        <is>
          <t>Dongguan Z.MAX Sitzone T14 $63-75.60 / NOEL $57.70-86.60 (0.15 CBM=453/40')</t>
        </is>
      </c>
    </row>
    <row r="28">
      <c r="A28" s="12" t="inlineStr">
        <is>
          <t>EQP-702</t>
        </is>
      </c>
      <c r="B28" s="13" t="inlineStr">
        <is>
          <t>Sillón Ejecutivo Piel Cognac</t>
        </is>
      </c>
      <c r="C28" s="13" t="inlineStr">
        <is>
          <t>ejecutivas</t>
        </is>
      </c>
      <c r="D28" s="14" t="n">
        <v>148</v>
      </c>
      <c r="E28" s="15" t="n">
        <v>0.48</v>
      </c>
      <c r="F28" s="16">
        <f>ROUNDDOWN(PARAMETROS!$B$10/E28,0)</f>
        <v/>
      </c>
      <c r="G28" s="17">
        <f>PARAMETROS!$B$4/F28</f>
        <v/>
      </c>
      <c r="H28" s="17">
        <f>D28*PARAMETROS!$B$5</f>
        <v/>
      </c>
      <c r="I28" s="17">
        <f>D28+G28+H28</f>
        <v/>
      </c>
      <c r="J28" s="17">
        <f>I28*PARAMETROS!$B$6</f>
        <v/>
      </c>
      <c r="K28" s="17">
        <f>I28*PARAMETROS!$B$7</f>
        <v/>
      </c>
      <c r="L28" s="17">
        <f>(PARAMETROS!$B$8+PARAMETROS!$B$9)/F28</f>
        <v/>
      </c>
      <c r="M28" s="17">
        <f>I28+J28+K28+L28</f>
        <v/>
      </c>
      <c r="N28" s="18">
        <f>M28*PARAMETROS!$B$3</f>
        <v/>
      </c>
      <c r="O28" s="19" t="n">
        <v>7490</v>
      </c>
      <c r="P28" s="19" t="n">
        <v>8790</v>
      </c>
      <c r="Q28" s="20">
        <f>O28-N28</f>
        <v/>
      </c>
      <c r="R28" s="21">
        <f>IF(O28=0,0,Q28/O28)</f>
        <v/>
      </c>
      <c r="S28" s="20">
        <f>P28-N28</f>
        <v/>
      </c>
      <c r="T28" s="21">
        <f>IF(P28=0,0,S28/P28)</f>
        <v/>
      </c>
      <c r="U28" s="13" t="inlineStr">
        <is>
          <t>10</t>
        </is>
      </c>
      <c r="V28" s="13" t="inlineStr">
        <is>
          <t>[V]</t>
        </is>
      </c>
      <c r="W28" s="22" t="inlineStr">
        <is>
          <t>Foshan Jinglin boss PU $146-152, 0.48 CBM=141/40'</t>
        </is>
      </c>
    </row>
    <row r="29">
      <c r="A29" s="12" t="inlineStr">
        <is>
          <t>EQP-703</t>
        </is>
      </c>
      <c r="B29" s="13" t="inlineStr">
        <is>
          <t>Sillón Ejecutivo Nocturno</t>
        </is>
      </c>
      <c r="C29" s="13" t="inlineStr">
        <is>
          <t>ejecutivas</t>
        </is>
      </c>
      <c r="D29" s="14" t="n">
        <v>90</v>
      </c>
      <c r="E29" s="15" t="n">
        <v>0.16</v>
      </c>
      <c r="F29" s="16">
        <f>ROUNDDOWN(PARAMETROS!$B$10/E29,0)</f>
        <v/>
      </c>
      <c r="G29" s="17">
        <f>PARAMETROS!$B$4/F29</f>
        <v/>
      </c>
      <c r="H29" s="17">
        <f>D29*PARAMETROS!$B$5</f>
        <v/>
      </c>
      <c r="I29" s="17">
        <f>D29+G29+H29</f>
        <v/>
      </c>
      <c r="J29" s="17">
        <f>I29*PARAMETROS!$B$6</f>
        <v/>
      </c>
      <c r="K29" s="17">
        <f>I29*PARAMETROS!$B$7</f>
        <v/>
      </c>
      <c r="L29" s="17">
        <f>(PARAMETROS!$B$8+PARAMETROS!$B$9)/F29</f>
        <v/>
      </c>
      <c r="M29" s="17">
        <f>I29+J29+K29+L29</f>
        <v/>
      </c>
      <c r="N29" s="18">
        <f>M29*PARAMETROS!$B$3</f>
        <v/>
      </c>
      <c r="O29" s="19" t="n">
        <v>4490</v>
      </c>
      <c r="P29" s="19" t="n">
        <v>5290</v>
      </c>
      <c r="Q29" s="20">
        <f>O29-N29</f>
        <v/>
      </c>
      <c r="R29" s="21">
        <f>IF(O29=0,0,Q29/O29)</f>
        <v/>
      </c>
      <c r="S29" s="20">
        <f>P29-N29</f>
        <v/>
      </c>
      <c r="T29" s="21">
        <f>IF(P29=0,0,S29/P29)</f>
        <v/>
      </c>
      <c r="U29" s="13" t="inlineStr">
        <is>
          <t>5</t>
        </is>
      </c>
      <c r="V29" s="13" t="inlineStr">
        <is>
          <t>[V]</t>
        </is>
      </c>
      <c r="W29" s="22" t="inlineStr">
        <is>
          <t>Sihoo M57 $90-102, 400/40', puerto Shenzhen</t>
        </is>
      </c>
    </row>
    <row r="30">
      <c r="A30" s="12" t="inlineStr">
        <is>
          <t>EQP-801</t>
        </is>
      </c>
      <c r="B30" s="13" t="inlineStr">
        <is>
          <t>Escritorio Nogal</t>
        </is>
      </c>
      <c r="C30" s="13" t="inlineStr">
        <is>
          <t>escritorios</t>
        </is>
      </c>
      <c r="D30" s="14" t="n">
        <v>90</v>
      </c>
      <c r="E30" s="15" t="n">
        <v>0.16</v>
      </c>
      <c r="F30" s="16">
        <f>ROUNDDOWN(PARAMETROS!$B$10/E30,0)</f>
        <v/>
      </c>
      <c r="G30" s="17">
        <f>PARAMETROS!$B$4/F30</f>
        <v/>
      </c>
      <c r="H30" s="17">
        <f>D30*PARAMETROS!$B$5</f>
        <v/>
      </c>
      <c r="I30" s="17">
        <f>D30+G30+H30</f>
        <v/>
      </c>
      <c r="J30" s="17">
        <f>I30*PARAMETROS!$B$6</f>
        <v/>
      </c>
      <c r="K30" s="17">
        <f>I30*PARAMETROS!$B$7</f>
        <v/>
      </c>
      <c r="L30" s="17">
        <f>(PARAMETROS!$B$8+PARAMETROS!$B$9)/F30</f>
        <v/>
      </c>
      <c r="M30" s="17">
        <f>I30+J30+K30+L30</f>
        <v/>
      </c>
      <c r="N30" s="18">
        <f>M30*PARAMETROS!$B$3</f>
        <v/>
      </c>
      <c r="O30" s="19" t="n">
        <v>4990</v>
      </c>
      <c r="P30" s="19" t="n">
        <v>5990</v>
      </c>
      <c r="Q30" s="20">
        <f>O30-N30</f>
        <v/>
      </c>
      <c r="R30" s="21">
        <f>IF(O30=0,0,Q30/O30)</f>
        <v/>
      </c>
      <c r="S30" s="20">
        <f>P30-N30</f>
        <v/>
      </c>
      <c r="T30" s="21">
        <f>IF(P30=0,0,S30/P30)</f>
        <v/>
      </c>
      <c r="U30" s="13" t="inlineStr">
        <is>
          <t>5</t>
        </is>
      </c>
      <c r="V30" s="13" t="inlineStr">
        <is>
          <t>[V]</t>
        </is>
      </c>
      <c r="W30" s="22" t="inlineStr">
        <is>
          <t>Zhongshan MOBI 23FXD105 $90</t>
        </is>
      </c>
    </row>
    <row r="31">
      <c r="A31" s="12" t="inlineStr">
        <is>
          <t>EQP-802</t>
        </is>
      </c>
      <c r="B31" s="13" t="inlineStr">
        <is>
          <t>Escritorio Lino Blanco</t>
        </is>
      </c>
      <c r="C31" s="13" t="inlineStr">
        <is>
          <t>escritorios</t>
        </is>
      </c>
      <c r="D31" s="14" t="n">
        <v>45</v>
      </c>
      <c r="E31" s="15" t="n">
        <v>0.14</v>
      </c>
      <c r="F31" s="16">
        <f>ROUNDDOWN(PARAMETROS!$B$10/E31,0)</f>
        <v/>
      </c>
      <c r="G31" s="17">
        <f>PARAMETROS!$B$4/F31</f>
        <v/>
      </c>
      <c r="H31" s="17">
        <f>D31*PARAMETROS!$B$5</f>
        <v/>
      </c>
      <c r="I31" s="17">
        <f>D31+G31+H31</f>
        <v/>
      </c>
      <c r="J31" s="17">
        <f>I31*PARAMETROS!$B$6</f>
        <v/>
      </c>
      <c r="K31" s="17">
        <f>I31*PARAMETROS!$B$7</f>
        <v/>
      </c>
      <c r="L31" s="17">
        <f>(PARAMETROS!$B$8+PARAMETROS!$B$9)/F31</f>
        <v/>
      </c>
      <c r="M31" s="17">
        <f>I31+J31+K31+L31</f>
        <v/>
      </c>
      <c r="N31" s="18">
        <f>M31*PARAMETROS!$B$3</f>
        <v/>
      </c>
      <c r="O31" s="19" t="n">
        <v>2990</v>
      </c>
      <c r="P31" s="19" t="n">
        <v>3590</v>
      </c>
      <c r="Q31" s="20">
        <f>O31-N31</f>
        <v/>
      </c>
      <c r="R31" s="21">
        <f>IF(O31=0,0,Q31/O31)</f>
        <v/>
      </c>
      <c r="S31" s="20">
        <f>P31-N31</f>
        <v/>
      </c>
      <c r="T31" s="21">
        <f>IF(P31=0,0,S31/P31)</f>
        <v/>
      </c>
      <c r="U31" s="13" t="inlineStr">
        <is>
          <t>10</t>
        </is>
      </c>
      <c r="V31" s="13" t="inlineStr">
        <is>
          <t>[V]</t>
        </is>
      </c>
      <c r="W31" s="22" t="inlineStr">
        <is>
          <t>BG Office Foshan $15-50</t>
        </is>
      </c>
    </row>
    <row r="32">
      <c r="A32" s="12" t="inlineStr">
        <is>
          <t>EQP-803</t>
        </is>
      </c>
      <c r="B32" s="13" t="inlineStr">
        <is>
          <t>Escritorio Atrio</t>
        </is>
      </c>
      <c r="C32" s="13" t="inlineStr">
        <is>
          <t>escritorios</t>
        </is>
      </c>
      <c r="D32" s="14" t="n">
        <v>70</v>
      </c>
      <c r="E32" s="15" t="n">
        <v>0.15</v>
      </c>
      <c r="F32" s="16">
        <f>ROUNDDOWN(PARAMETROS!$B$10/E32,0)</f>
        <v/>
      </c>
      <c r="G32" s="17">
        <f>PARAMETROS!$B$4/F32</f>
        <v/>
      </c>
      <c r="H32" s="17">
        <f>D32*PARAMETROS!$B$5</f>
        <v/>
      </c>
      <c r="I32" s="17">
        <f>D32+G32+H32</f>
        <v/>
      </c>
      <c r="J32" s="17">
        <f>I32*PARAMETROS!$B$6</f>
        <v/>
      </c>
      <c r="K32" s="17">
        <f>I32*PARAMETROS!$B$7</f>
        <v/>
      </c>
      <c r="L32" s="17">
        <f>(PARAMETROS!$B$8+PARAMETROS!$B$9)/F32</f>
        <v/>
      </c>
      <c r="M32" s="17">
        <f>I32+J32+K32+L32</f>
        <v/>
      </c>
      <c r="N32" s="18">
        <f>M32*PARAMETROS!$B$3</f>
        <v/>
      </c>
      <c r="O32" s="19" t="n">
        <v>3990</v>
      </c>
      <c r="P32" s="19" t="n">
        <v>4790</v>
      </c>
      <c r="Q32" s="20">
        <f>O32-N32</f>
        <v/>
      </c>
      <c r="R32" s="21">
        <f>IF(O32=0,0,Q32/O32)</f>
        <v/>
      </c>
      <c r="S32" s="20">
        <f>P32-N32</f>
        <v/>
      </c>
      <c r="T32" s="21">
        <f>IF(P32=0,0,S32/P32)</f>
        <v/>
      </c>
      <c r="U32" s="13" t="inlineStr">
        <is>
          <t>10</t>
        </is>
      </c>
      <c r="V32" s="13" t="inlineStr">
        <is>
          <t>[E]</t>
        </is>
      </c>
      <c r="W32" s="22" t="inlineStr">
        <is>
          <t>Interpolado MOBI/BG</t>
        </is>
      </c>
    </row>
    <row r="33">
      <c r="A33" s="12" t="inlineStr">
        <is>
          <t>EQP-901</t>
        </is>
      </c>
      <c r="B33" s="13" t="inlineStr">
        <is>
          <t>Mesa de Juntas Delta</t>
        </is>
      </c>
      <c r="C33" s="13" t="inlineStr">
        <is>
          <t>juntas</t>
        </is>
      </c>
      <c r="D33" s="14" t="n">
        <v>130</v>
      </c>
      <c r="E33" s="15" t="n">
        <v>0.26</v>
      </c>
      <c r="F33" s="16">
        <f>ROUNDDOWN(PARAMETROS!$B$10/E33,0)</f>
        <v/>
      </c>
      <c r="G33" s="17">
        <f>PARAMETROS!$B$4/F33</f>
        <v/>
      </c>
      <c r="H33" s="17">
        <f>D33*PARAMETROS!$B$5</f>
        <v/>
      </c>
      <c r="I33" s="17">
        <f>D33+G33+H33</f>
        <v/>
      </c>
      <c r="J33" s="17">
        <f>I33*PARAMETROS!$B$6</f>
        <v/>
      </c>
      <c r="K33" s="17">
        <f>I33*PARAMETROS!$B$7</f>
        <v/>
      </c>
      <c r="L33" s="17">
        <f>(PARAMETROS!$B$8+PARAMETROS!$B$9)/F33</f>
        <v/>
      </c>
      <c r="M33" s="17">
        <f>I33+J33+K33+L33</f>
        <v/>
      </c>
      <c r="N33" s="18">
        <f>M33*PARAMETROS!$B$3</f>
        <v/>
      </c>
      <c r="O33" s="19" t="n">
        <v>8490</v>
      </c>
      <c r="P33" s="19" t="n">
        <v>9990</v>
      </c>
      <c r="Q33" s="20">
        <f>O33-N33</f>
        <v/>
      </c>
      <c r="R33" s="21">
        <f>IF(O33=0,0,Q33/O33)</f>
        <v/>
      </c>
      <c r="S33" s="20">
        <f>P33-N33</f>
        <v/>
      </c>
      <c r="T33" s="21">
        <f>IF(P33=0,0,S33/P33)</f>
        <v/>
      </c>
      <c r="U33" s="13" t="inlineStr">
        <is>
          <t>10 sets</t>
        </is>
      </c>
      <c r="V33" s="13" t="inlineStr">
        <is>
          <t>[V]</t>
        </is>
      </c>
      <c r="W33" s="22" t="inlineStr">
        <is>
          <t>Zhongshan Top Plus KH-2412 $120-139, 0.26 CBM</t>
        </is>
      </c>
    </row>
    <row r="34">
      <c r="A34" s="12" t="inlineStr">
        <is>
          <t>EQP-902</t>
        </is>
      </c>
      <c r="B34" s="13" t="inlineStr">
        <is>
          <t>Mesa de Juntas Foro</t>
        </is>
      </c>
      <c r="C34" s="13" t="inlineStr">
        <is>
          <t>juntas</t>
        </is>
      </c>
      <c r="D34" s="14" t="n">
        <v>120</v>
      </c>
      <c r="E34" s="15" t="n">
        <v>0.26</v>
      </c>
      <c r="F34" s="16">
        <f>ROUNDDOWN(PARAMETROS!$B$10/E34,0)</f>
        <v/>
      </c>
      <c r="G34" s="17">
        <f>PARAMETROS!$B$4/F34</f>
        <v/>
      </c>
      <c r="H34" s="17">
        <f>D34*PARAMETROS!$B$5</f>
        <v/>
      </c>
      <c r="I34" s="17">
        <f>D34+G34+H34</f>
        <v/>
      </c>
      <c r="J34" s="17">
        <f>I34*PARAMETROS!$B$6</f>
        <v/>
      </c>
      <c r="K34" s="17">
        <f>I34*PARAMETROS!$B$7</f>
        <v/>
      </c>
      <c r="L34" s="17">
        <f>(PARAMETROS!$B$8+PARAMETROS!$B$9)/F34</f>
        <v/>
      </c>
      <c r="M34" s="17">
        <f>I34+J34+K34+L34</f>
        <v/>
      </c>
      <c r="N34" s="18">
        <f>M34*PARAMETROS!$B$3</f>
        <v/>
      </c>
      <c r="O34" s="19" t="n">
        <v>6490</v>
      </c>
      <c r="P34" s="19" t="n">
        <v>7490</v>
      </c>
      <c r="Q34" s="20">
        <f>O34-N34</f>
        <v/>
      </c>
      <c r="R34" s="21">
        <f>IF(O34=0,0,Q34/O34)</f>
        <v/>
      </c>
      <c r="S34" s="20">
        <f>P34-N34</f>
        <v/>
      </c>
      <c r="T34" s="21">
        <f>IF(P34=0,0,S34/P34)</f>
        <v/>
      </c>
      <c r="U34" s="13" t="inlineStr">
        <is>
          <t>10 sets</t>
        </is>
      </c>
      <c r="V34" s="13" t="inlineStr">
        <is>
          <t>[E]</t>
        </is>
      </c>
      <c r="W34" s="22" t="inlineStr">
        <is>
          <t>Top Plus escala</t>
        </is>
      </c>
    </row>
    <row r="35">
      <c r="A35" s="12" t="inlineStr">
        <is>
          <t>EQP-951</t>
        </is>
      </c>
      <c r="B35" s="13" t="inlineStr">
        <is>
          <t>Banca Tándem Terminal 3P</t>
        </is>
      </c>
      <c r="C35" s="13" t="inlineStr">
        <is>
          <t>tandem</t>
        </is>
      </c>
      <c r="D35" s="14" t="n">
        <v>45</v>
      </c>
      <c r="E35" s="15" t="n">
        <v>0.15</v>
      </c>
      <c r="F35" s="16">
        <f>ROUNDDOWN(PARAMETROS!$B$10/E35,0)</f>
        <v/>
      </c>
      <c r="G35" s="17">
        <f>PARAMETROS!$B$4/F35</f>
        <v/>
      </c>
      <c r="H35" s="17">
        <f>D35*PARAMETROS!$B$5</f>
        <v/>
      </c>
      <c r="I35" s="17">
        <f>D35+G35+H35</f>
        <v/>
      </c>
      <c r="J35" s="17">
        <f>I35*PARAMETROS!$B$6</f>
        <v/>
      </c>
      <c r="K35" s="17">
        <f>I35*PARAMETROS!$B$7</f>
        <v/>
      </c>
      <c r="L35" s="17">
        <f>(PARAMETROS!$B$8+PARAMETROS!$B$9)/F35</f>
        <v/>
      </c>
      <c r="M35" s="17">
        <f>I35+J35+K35+L35</f>
        <v/>
      </c>
      <c r="N35" s="18">
        <f>M35*PARAMETROS!$B$3</f>
        <v/>
      </c>
      <c r="O35" s="19" t="n">
        <v>3990</v>
      </c>
      <c r="P35" s="19" t="n">
        <v>4790</v>
      </c>
      <c r="Q35" s="20">
        <f>O35-N35</f>
        <v/>
      </c>
      <c r="R35" s="21">
        <f>IF(O35=0,0,Q35/O35)</f>
        <v/>
      </c>
      <c r="S35" s="20">
        <f>P35-N35</f>
        <v/>
      </c>
      <c r="T35" s="21">
        <f>IF(P35=0,0,S35/P35)</f>
        <v/>
      </c>
      <c r="U35" s="13" t="inlineStr">
        <is>
          <t>10 sets</t>
        </is>
      </c>
      <c r="V35" s="13" t="inlineStr">
        <is>
          <t>[V]</t>
        </is>
      </c>
      <c r="W35" s="22" t="inlineStr">
        <is>
          <t>Guangdong Yaqi Ya-25 $35-50, acero 1.5mm, 0.13 CBM=530/40'</t>
        </is>
      </c>
    </row>
    <row r="36">
      <c r="A36" s="12" t="inlineStr">
        <is>
          <t>EQP-952</t>
        </is>
      </c>
      <c r="B36" s="13" t="inlineStr">
        <is>
          <t>Banca Tándem Perfil 4P</t>
        </is>
      </c>
      <c r="C36" s="13" t="inlineStr">
        <is>
          <t>tandem</t>
        </is>
      </c>
      <c r="D36" s="14" t="n">
        <v>65</v>
      </c>
      <c r="E36" s="15" t="n">
        <v>0.22</v>
      </c>
      <c r="F36" s="16">
        <f>ROUNDDOWN(PARAMETROS!$B$10/E36,0)</f>
        <v/>
      </c>
      <c r="G36" s="17">
        <f>PARAMETROS!$B$4/F36</f>
        <v/>
      </c>
      <c r="H36" s="17">
        <f>D36*PARAMETROS!$B$5</f>
        <v/>
      </c>
      <c r="I36" s="17">
        <f>D36+G36+H36</f>
        <v/>
      </c>
      <c r="J36" s="17">
        <f>I36*PARAMETROS!$B$6</f>
        <v/>
      </c>
      <c r="K36" s="17">
        <f>I36*PARAMETROS!$B$7</f>
        <v/>
      </c>
      <c r="L36" s="17">
        <f>(PARAMETROS!$B$8+PARAMETROS!$B$9)/F36</f>
        <v/>
      </c>
      <c r="M36" s="17">
        <f>I36+J36+K36+L36</f>
        <v/>
      </c>
      <c r="N36" s="18">
        <f>M36*PARAMETROS!$B$3</f>
        <v/>
      </c>
      <c r="O36" s="19" t="n">
        <v>4990</v>
      </c>
      <c r="P36" s="19" t="n">
        <v>5990</v>
      </c>
      <c r="Q36" s="20">
        <f>O36-N36</f>
        <v/>
      </c>
      <c r="R36" s="21">
        <f>IF(O36=0,0,Q36/O36)</f>
        <v/>
      </c>
      <c r="S36" s="20">
        <f>P36-N36</f>
        <v/>
      </c>
      <c r="T36" s="21">
        <f>IF(P36=0,0,S36/P36)</f>
        <v/>
      </c>
      <c r="U36" s="13" t="inlineStr">
        <is>
          <t>50 sets</t>
        </is>
      </c>
      <c r="V36" s="13" t="inlineStr">
        <is>
          <t>[V]</t>
        </is>
      </c>
      <c r="W36" s="22" t="inlineStr">
        <is>
          <t>Foshan Kaili KL-M03 $62-68, viga 1.8mm</t>
        </is>
      </c>
    </row>
    <row r="37">
      <c r="A37" s="12" t="inlineStr">
        <is>
          <t>EQP-953</t>
        </is>
      </c>
      <c r="B37" s="13" t="inlineStr">
        <is>
          <t>Banca Tándem Sol 3P</t>
        </is>
      </c>
      <c r="C37" s="13" t="inlineStr">
        <is>
          <t>tandem</t>
        </is>
      </c>
      <c r="D37" s="14" t="n">
        <v>40</v>
      </c>
      <c r="E37" s="15" t="n">
        <v>0.13</v>
      </c>
      <c r="F37" s="16">
        <f>ROUNDDOWN(PARAMETROS!$B$10/E37,0)</f>
        <v/>
      </c>
      <c r="G37" s="17">
        <f>PARAMETROS!$B$4/F37</f>
        <v/>
      </c>
      <c r="H37" s="17">
        <f>D37*PARAMETROS!$B$5</f>
        <v/>
      </c>
      <c r="I37" s="17">
        <f>D37+G37+H37</f>
        <v/>
      </c>
      <c r="J37" s="17">
        <f>I37*PARAMETROS!$B$6</f>
        <v/>
      </c>
      <c r="K37" s="17">
        <f>I37*PARAMETROS!$B$7</f>
        <v/>
      </c>
      <c r="L37" s="17">
        <f>(PARAMETROS!$B$8+PARAMETROS!$B$9)/F37</f>
        <v/>
      </c>
      <c r="M37" s="17">
        <f>I37+J37+K37+L37</f>
        <v/>
      </c>
      <c r="N37" s="18">
        <f>M37*PARAMETROS!$B$3</f>
        <v/>
      </c>
      <c r="O37" s="19" t="n">
        <v>3290</v>
      </c>
      <c r="P37" s="19" t="n">
        <v>3890</v>
      </c>
      <c r="Q37" s="20">
        <f>O37-N37</f>
        <v/>
      </c>
      <c r="R37" s="21">
        <f>IF(O37=0,0,Q37/O37)</f>
        <v/>
      </c>
      <c r="S37" s="20">
        <f>P37-N37</f>
        <v/>
      </c>
      <c r="T37" s="21">
        <f>IF(P37=0,0,S37/P37)</f>
        <v/>
      </c>
      <c r="U37" s="13" t="inlineStr">
        <is>
          <t>10 sets</t>
        </is>
      </c>
      <c r="V37" s="13" t="inlineStr">
        <is>
          <t>[V]</t>
        </is>
      </c>
      <c r="W37" s="22" t="inlineStr">
        <is>
          <t>Guangdong Yaqi</t>
        </is>
      </c>
    </row>
    <row r="38">
      <c r="A38" s="12" t="inlineStr">
        <is>
          <t>EQP-960</t>
        </is>
      </c>
      <c r="B38" s="13" t="inlineStr">
        <is>
          <t>Set Terraza Metal</t>
        </is>
      </c>
      <c r="C38" s="13" t="inlineStr">
        <is>
          <t>exterior</t>
        </is>
      </c>
      <c r="D38" s="14" t="n">
        <v>70</v>
      </c>
      <c r="E38" s="15" t="n">
        <v>0.3</v>
      </c>
      <c r="F38" s="16">
        <f>ROUNDDOWN(PARAMETROS!$B$10/E38,0)</f>
        <v/>
      </c>
      <c r="G38" s="17">
        <f>PARAMETROS!$B$4/F38</f>
        <v/>
      </c>
      <c r="H38" s="17">
        <f>D38*PARAMETROS!$B$5</f>
        <v/>
      </c>
      <c r="I38" s="17">
        <f>D38+G38+H38</f>
        <v/>
      </c>
      <c r="J38" s="17">
        <f>I38*PARAMETROS!$B$6</f>
        <v/>
      </c>
      <c r="K38" s="17">
        <f>I38*PARAMETROS!$B$7</f>
        <v/>
      </c>
      <c r="L38" s="17">
        <f>(PARAMETROS!$B$8+PARAMETROS!$B$9)/F38</f>
        <v/>
      </c>
      <c r="M38" s="17">
        <f>I38+J38+K38+L38</f>
        <v/>
      </c>
      <c r="N38" s="18">
        <f>M38*PARAMETROS!$B$3</f>
        <v/>
      </c>
      <c r="O38" s="19" t="n">
        <v>3990</v>
      </c>
      <c r="P38" s="19" t="n">
        <v>4790</v>
      </c>
      <c r="Q38" s="20">
        <f>O38-N38</f>
        <v/>
      </c>
      <c r="R38" s="21">
        <f>IF(O38=0,0,Q38/O38)</f>
        <v/>
      </c>
      <c r="S38" s="20">
        <f>P38-N38</f>
        <v/>
      </c>
      <c r="T38" s="21">
        <f>IF(P38=0,0,S38/P38)</f>
        <v/>
      </c>
      <c r="U38" s="13" t="inlineStr">
        <is>
          <t>5 sets</t>
        </is>
      </c>
      <c r="V38" s="13" t="inlineStr">
        <is>
          <t>[V]</t>
        </is>
      </c>
      <c r="W38" s="22" t="inlineStr">
        <is>
          <t>Linyi Gaotong aluminio fundido $62-70/set, garantía 3 años</t>
        </is>
      </c>
    </row>
    <row r="39">
      <c r="A39" s="12" t="inlineStr">
        <is>
          <t>EQP-961</t>
        </is>
      </c>
      <c r="B39" s="13" t="inlineStr">
        <is>
          <t>Set Bistró Madera</t>
        </is>
      </c>
      <c r="C39" s="13" t="inlineStr">
        <is>
          <t>exterior</t>
        </is>
      </c>
      <c r="D39" s="14" t="n">
        <v>85</v>
      </c>
      <c r="E39" s="15" t="n">
        <v>0.35</v>
      </c>
      <c r="F39" s="16">
        <f>ROUNDDOWN(PARAMETROS!$B$10/E39,0)</f>
        <v/>
      </c>
      <c r="G39" s="17">
        <f>PARAMETROS!$B$4/F39</f>
        <v/>
      </c>
      <c r="H39" s="17">
        <f>D39*PARAMETROS!$B$5</f>
        <v/>
      </c>
      <c r="I39" s="17">
        <f>D39+G39+H39</f>
        <v/>
      </c>
      <c r="J39" s="17">
        <f>I39*PARAMETROS!$B$6</f>
        <v/>
      </c>
      <c r="K39" s="17">
        <f>I39*PARAMETROS!$B$7</f>
        <v/>
      </c>
      <c r="L39" s="17">
        <f>(PARAMETROS!$B$8+PARAMETROS!$B$9)/F39</f>
        <v/>
      </c>
      <c r="M39" s="17">
        <f>I39+J39+K39+L39</f>
        <v/>
      </c>
      <c r="N39" s="18">
        <f>M39*PARAMETROS!$B$3</f>
        <v/>
      </c>
      <c r="O39" s="19" t="n">
        <v>4590</v>
      </c>
      <c r="P39" s="19" t="n">
        <v>5390</v>
      </c>
      <c r="Q39" s="20">
        <f>O39-N39</f>
        <v/>
      </c>
      <c r="R39" s="21">
        <f>IF(O39=0,0,Q39/O39)</f>
        <v/>
      </c>
      <c r="S39" s="20">
        <f>P39-N39</f>
        <v/>
      </c>
      <c r="T39" s="21">
        <f>IF(P39=0,0,S39/P39)</f>
        <v/>
      </c>
      <c r="U39" s="13" t="inlineStr">
        <is>
          <t>5 sets</t>
        </is>
      </c>
      <c r="V39" s="13" t="inlineStr">
        <is>
          <t>[E]</t>
        </is>
      </c>
      <c r="W39" s="22" t="inlineStr">
        <is>
          <t>Bistro KD acero+cuerda $60-90</t>
        </is>
      </c>
    </row>
    <row r="40">
      <c r="A40" s="12" t="inlineStr">
        <is>
          <t>EQP-962</t>
        </is>
      </c>
      <c r="B40" s="13" t="inlineStr">
        <is>
          <t>Set Jardín Blanco</t>
        </is>
      </c>
      <c r="C40" s="13" t="inlineStr">
        <is>
          <t>exterior</t>
        </is>
      </c>
      <c r="D40" s="14" t="n">
        <v>65</v>
      </c>
      <c r="E40" s="15" t="n">
        <v>0.3</v>
      </c>
      <c r="F40" s="16">
        <f>ROUNDDOWN(PARAMETROS!$B$10/E40,0)</f>
        <v/>
      </c>
      <c r="G40" s="17">
        <f>PARAMETROS!$B$4/F40</f>
        <v/>
      </c>
      <c r="H40" s="17">
        <f>D40*PARAMETROS!$B$5</f>
        <v/>
      </c>
      <c r="I40" s="17">
        <f>D40+G40+H40</f>
        <v/>
      </c>
      <c r="J40" s="17">
        <f>I40*PARAMETROS!$B$6</f>
        <v/>
      </c>
      <c r="K40" s="17">
        <f>I40*PARAMETROS!$B$7</f>
        <v/>
      </c>
      <c r="L40" s="17">
        <f>(PARAMETROS!$B$8+PARAMETROS!$B$9)/F40</f>
        <v/>
      </c>
      <c r="M40" s="17">
        <f>I40+J40+K40+L40</f>
        <v/>
      </c>
      <c r="N40" s="18">
        <f>M40*PARAMETROS!$B$3</f>
        <v/>
      </c>
      <c r="O40" s="19" t="n">
        <v>3690</v>
      </c>
      <c r="P40" s="19" t="n">
        <v>4290</v>
      </c>
      <c r="Q40" s="20">
        <f>O40-N40</f>
        <v/>
      </c>
      <c r="R40" s="21">
        <f>IF(O40=0,0,Q40/O40)</f>
        <v/>
      </c>
      <c r="S40" s="20">
        <f>P40-N40</f>
        <v/>
      </c>
      <c r="T40" s="21">
        <f>IF(P40=0,0,S40/P40)</f>
        <v/>
      </c>
      <c r="U40" s="13" t="inlineStr">
        <is>
          <t>5 sets</t>
        </is>
      </c>
      <c r="V40" s="13" t="inlineStr">
        <is>
          <t>[V]</t>
        </is>
      </c>
      <c r="W40" s="22" t="inlineStr">
        <is>
          <t>Linyi Gaotong</t>
        </is>
      </c>
    </row>
    <row r="42">
      <c r="B42" s="7" t="inlineStr">
        <is>
          <t>Fijos USD/ud = (agente aduanal + flete interno) prorrateados entre las unidades del contenedor si fuera monoproducto; en mezcla real el prorrateo va por CBM (ver CONTENEDOR). IVA de importación no incluido en el costo: es acreditable (PARAMETROS!B11).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1" customWidth="1" min="4" max="4"/>
    <col width="20" customWidth="1" min="5" max="5"/>
    <col width="18" customWidth="1" min="6" max="6"/>
    <col width="16" customWidth="1" min="7" max="7"/>
  </cols>
  <sheetData>
    <row r="1">
      <c r="A1" s="4" t="inlineStr">
        <is>
          <t>SIMULADOR · PRIMER CONTENEDOR 40'HQ (edita cantidades en azul)</t>
        </is>
      </c>
    </row>
    <row r="3">
      <c r="A3" s="23" t="inlineStr">
        <is>
          <t>SKU</t>
        </is>
      </c>
      <c r="B3" s="23" t="inlineStr">
        <is>
          <t>Producto</t>
        </is>
      </c>
      <c r="C3" s="23" t="inlineStr">
        <is>
          <t>Cantidad</t>
        </is>
      </c>
      <c r="D3" s="23" t="inlineStr">
        <is>
          <t>CBM total</t>
        </is>
      </c>
      <c r="E3" s="23" t="inlineStr">
        <is>
          <t>Inversión aterrizada MXN</t>
        </is>
      </c>
      <c r="F3" s="23" t="inlineStr">
        <is>
          <t>Venta mayoreo MXN</t>
        </is>
      </c>
      <c r="G3" s="23" t="inlineStr">
        <is>
          <t>Utilidad MXN</t>
        </is>
      </c>
    </row>
    <row r="4">
      <c r="A4" s="24" t="inlineStr">
        <is>
          <t>EQP-102</t>
        </is>
      </c>
      <c r="B4" s="5">
        <f>INDEX(CATALOGO!B:B,MATCH(A4,CATALOGO!A:A,0))</f>
        <v/>
      </c>
      <c r="C4" s="25" t="n">
        <v>200</v>
      </c>
      <c r="D4" s="26">
        <f>C4*INDEX(CATALOGO!E:E,MATCH(A4,CATALOGO!A:A,0))</f>
        <v/>
      </c>
      <c r="E4" s="27">
        <f>C4*INDEX(CATALOGO!N:N,MATCH(A4,CATALOGO!A:A,0))</f>
        <v/>
      </c>
      <c r="F4" s="27">
        <f>C4*INDEX(CATALOGO!O:O,MATCH(A4,CATALOGO!A:A,0))</f>
        <v/>
      </c>
      <c r="G4" s="28">
        <f>F4-E4</f>
        <v/>
      </c>
    </row>
    <row r="5">
      <c r="A5" s="24" t="inlineStr">
        <is>
          <t>EQP-105</t>
        </is>
      </c>
      <c r="B5" s="5">
        <f>INDEX(CATALOGO!B:B,MATCH(A5,CATALOGO!A:A,0))</f>
        <v/>
      </c>
      <c r="C5" s="25" t="n">
        <v>100</v>
      </c>
      <c r="D5" s="26">
        <f>C5*INDEX(CATALOGO!E:E,MATCH(A5,CATALOGO!A:A,0))</f>
        <v/>
      </c>
      <c r="E5" s="27">
        <f>C5*INDEX(CATALOGO!N:N,MATCH(A5,CATALOGO!A:A,0))</f>
        <v/>
      </c>
      <c r="F5" s="27">
        <f>C5*INDEX(CATALOGO!O:O,MATCH(A5,CATALOGO!A:A,0))</f>
        <v/>
      </c>
      <c r="G5" s="28">
        <f>F5-E5</f>
        <v/>
      </c>
    </row>
    <row r="6">
      <c r="A6" s="24" t="inlineStr">
        <is>
          <t>EQP-101</t>
        </is>
      </c>
      <c r="B6" s="5">
        <f>INDEX(CATALOGO!B:B,MATCH(A6,CATALOGO!A:A,0))</f>
        <v/>
      </c>
      <c r="C6" s="25" t="n">
        <v>60</v>
      </c>
      <c r="D6" s="26">
        <f>C6*INDEX(CATALOGO!E:E,MATCH(A6,CATALOGO!A:A,0))</f>
        <v/>
      </c>
      <c r="E6" s="27">
        <f>C6*INDEX(CATALOGO!N:N,MATCH(A6,CATALOGO!A:A,0))</f>
        <v/>
      </c>
      <c r="F6" s="27">
        <f>C6*INDEX(CATALOGO!O:O,MATCH(A6,CATALOGO!A:A,0))</f>
        <v/>
      </c>
      <c r="G6" s="28">
        <f>F6-E6</f>
        <v/>
      </c>
    </row>
    <row r="7">
      <c r="A7" s="24" t="inlineStr">
        <is>
          <t>EQP-103</t>
        </is>
      </c>
      <c r="B7" s="5">
        <f>INDEX(CATALOGO!B:B,MATCH(A7,CATALOGO!A:A,0))</f>
        <v/>
      </c>
      <c r="C7" s="25" t="n">
        <v>100</v>
      </c>
      <c r="D7" s="26">
        <f>C7*INDEX(CATALOGO!E:E,MATCH(A7,CATALOGO!A:A,0))</f>
        <v/>
      </c>
      <c r="E7" s="27">
        <f>C7*INDEX(CATALOGO!N:N,MATCH(A7,CATALOGO!A:A,0))</f>
        <v/>
      </c>
      <c r="F7" s="27">
        <f>C7*INDEX(CATALOGO!O:O,MATCH(A7,CATALOGO!A:A,0))</f>
        <v/>
      </c>
      <c r="G7" s="28">
        <f>F7-E7</f>
        <v/>
      </c>
    </row>
    <row r="8">
      <c r="A8" s="24" t="inlineStr">
        <is>
          <t>EQP-201</t>
        </is>
      </c>
      <c r="B8" s="5">
        <f>INDEX(CATALOGO!B:B,MATCH(A8,CATALOGO!A:A,0))</f>
        <v/>
      </c>
      <c r="C8" s="25" t="n">
        <v>60</v>
      </c>
      <c r="D8" s="26">
        <f>C8*INDEX(CATALOGO!E:E,MATCH(A8,CATALOGO!A:A,0))</f>
        <v/>
      </c>
      <c r="E8" s="27">
        <f>C8*INDEX(CATALOGO!N:N,MATCH(A8,CATALOGO!A:A,0))</f>
        <v/>
      </c>
      <c r="F8" s="27">
        <f>C8*INDEX(CATALOGO!O:O,MATCH(A8,CATALOGO!A:A,0))</f>
        <v/>
      </c>
      <c r="G8" s="28">
        <f>F8-E8</f>
        <v/>
      </c>
    </row>
    <row r="9">
      <c r="A9" s="24" t="inlineStr">
        <is>
          <t>EQP-202</t>
        </is>
      </c>
      <c r="B9" s="5">
        <f>INDEX(CATALOGO!B:B,MATCH(A9,CATALOGO!A:A,0))</f>
        <v/>
      </c>
      <c r="C9" s="25" t="n">
        <v>40</v>
      </c>
      <c r="D9" s="26">
        <f>C9*INDEX(CATALOGO!E:E,MATCH(A9,CATALOGO!A:A,0))</f>
        <v/>
      </c>
      <c r="E9" s="27">
        <f>C9*INDEX(CATALOGO!N:N,MATCH(A9,CATALOGO!A:A,0))</f>
        <v/>
      </c>
      <c r="F9" s="27">
        <f>C9*INDEX(CATALOGO!O:O,MATCH(A9,CATALOGO!A:A,0))</f>
        <v/>
      </c>
      <c r="G9" s="28">
        <f>F9-E9</f>
        <v/>
      </c>
    </row>
    <row r="10">
      <c r="A10" s="24" t="inlineStr">
        <is>
          <t>EQP-301</t>
        </is>
      </c>
      <c r="B10" s="5">
        <f>INDEX(CATALOGO!B:B,MATCH(A10,CATALOGO!A:A,0))</f>
        <v/>
      </c>
      <c r="C10" s="25" t="n">
        <v>40</v>
      </c>
      <c r="D10" s="26">
        <f>C10*INDEX(CATALOGO!E:E,MATCH(A10,CATALOGO!A:A,0))</f>
        <v/>
      </c>
      <c r="E10" s="27">
        <f>C10*INDEX(CATALOGO!N:N,MATCH(A10,CATALOGO!A:A,0))</f>
        <v/>
      </c>
      <c r="F10" s="27">
        <f>C10*INDEX(CATALOGO!O:O,MATCH(A10,CATALOGO!A:A,0))</f>
        <v/>
      </c>
      <c r="G10" s="28">
        <f>F10-E10</f>
        <v/>
      </c>
    </row>
    <row r="11">
      <c r="A11" s="24" t="inlineStr">
        <is>
          <t>EQP-302</t>
        </is>
      </c>
      <c r="B11" s="5">
        <f>INDEX(CATALOGO!B:B,MATCH(A11,CATALOGO!A:A,0))</f>
        <v/>
      </c>
      <c r="C11" s="25" t="n">
        <v>40</v>
      </c>
      <c r="D11" s="26">
        <f>C11*INDEX(CATALOGO!E:E,MATCH(A11,CATALOGO!A:A,0))</f>
        <v/>
      </c>
      <c r="E11" s="27">
        <f>C11*INDEX(CATALOGO!N:N,MATCH(A11,CATALOGO!A:A,0))</f>
        <v/>
      </c>
      <c r="F11" s="27">
        <f>C11*INDEX(CATALOGO!O:O,MATCH(A11,CATALOGO!A:A,0))</f>
        <v/>
      </c>
      <c r="G11" s="28">
        <f>F11-E11</f>
        <v/>
      </c>
    </row>
    <row r="12">
      <c r="A12" s="24" t="inlineStr">
        <is>
          <t>EQP-404</t>
        </is>
      </c>
      <c r="B12" s="5">
        <f>INDEX(CATALOGO!B:B,MATCH(A12,CATALOGO!A:A,0))</f>
        <v/>
      </c>
      <c r="C12" s="25" t="n">
        <v>10</v>
      </c>
      <c r="D12" s="26">
        <f>C12*INDEX(CATALOGO!E:E,MATCH(A12,CATALOGO!A:A,0))</f>
        <v/>
      </c>
      <c r="E12" s="27">
        <f>C12*INDEX(CATALOGO!N:N,MATCH(A12,CATALOGO!A:A,0))</f>
        <v/>
      </c>
      <c r="F12" s="27">
        <f>C12*INDEX(CATALOGO!O:O,MATCH(A12,CATALOGO!A:A,0))</f>
        <v/>
      </c>
      <c r="G12" s="28">
        <f>F12-E12</f>
        <v/>
      </c>
    </row>
    <row r="13">
      <c r="A13" s="24" t="inlineStr">
        <is>
          <t>EQP-401</t>
        </is>
      </c>
      <c r="B13" s="5">
        <f>INDEX(CATALOGO!B:B,MATCH(A13,CATALOGO!A:A,0))</f>
        <v/>
      </c>
      <c r="C13" s="25" t="n">
        <v>8</v>
      </c>
      <c r="D13" s="26">
        <f>C13*INDEX(CATALOGO!E:E,MATCH(A13,CATALOGO!A:A,0))</f>
        <v/>
      </c>
      <c r="E13" s="27">
        <f>C13*INDEX(CATALOGO!N:N,MATCH(A13,CATALOGO!A:A,0))</f>
        <v/>
      </c>
      <c r="F13" s="27">
        <f>C13*INDEX(CATALOGO!O:O,MATCH(A13,CATALOGO!A:A,0))</f>
        <v/>
      </c>
      <c r="G13" s="28">
        <f>F13-E13</f>
        <v/>
      </c>
    </row>
    <row r="14">
      <c r="A14" s="24" t="inlineStr">
        <is>
          <t>EQP-601</t>
        </is>
      </c>
      <c r="B14" s="5">
        <f>INDEX(CATALOGO!B:B,MATCH(A14,CATALOGO!A:A,0))</f>
        <v/>
      </c>
      <c r="C14" s="25" t="n">
        <v>6</v>
      </c>
      <c r="D14" s="26">
        <f>C14*INDEX(CATALOGO!E:E,MATCH(A14,CATALOGO!A:A,0))</f>
        <v/>
      </c>
      <c r="E14" s="27">
        <f>C14*INDEX(CATALOGO!N:N,MATCH(A14,CATALOGO!A:A,0))</f>
        <v/>
      </c>
      <c r="F14" s="27">
        <f>C14*INDEX(CATALOGO!O:O,MATCH(A14,CATALOGO!A:A,0))</f>
        <v/>
      </c>
      <c r="G14" s="28">
        <f>F14-E14</f>
        <v/>
      </c>
    </row>
    <row r="15">
      <c r="A15" s="24" t="inlineStr">
        <is>
          <t>EQP-802</t>
        </is>
      </c>
      <c r="B15" s="5">
        <f>INDEX(CATALOGO!B:B,MATCH(A15,CATALOGO!A:A,0))</f>
        <v/>
      </c>
      <c r="C15" s="25" t="n">
        <v>30</v>
      </c>
      <c r="D15" s="26">
        <f>C15*INDEX(CATALOGO!E:E,MATCH(A15,CATALOGO!A:A,0))</f>
        <v/>
      </c>
      <c r="E15" s="27">
        <f>C15*INDEX(CATALOGO!N:N,MATCH(A15,CATALOGO!A:A,0))</f>
        <v/>
      </c>
      <c r="F15" s="27">
        <f>C15*INDEX(CATALOGO!O:O,MATCH(A15,CATALOGO!A:A,0))</f>
        <v/>
      </c>
      <c r="G15" s="28">
        <f>F15-E15</f>
        <v/>
      </c>
    </row>
    <row r="16">
      <c r="A16" s="24" t="inlineStr">
        <is>
          <t>EQP-501</t>
        </is>
      </c>
      <c r="B16" s="5">
        <f>INDEX(CATALOGO!B:B,MATCH(A16,CATALOGO!A:A,0))</f>
        <v/>
      </c>
      <c r="C16" s="25" t="n">
        <v>40</v>
      </c>
      <c r="D16" s="26">
        <f>C16*INDEX(CATALOGO!E:E,MATCH(A16,CATALOGO!A:A,0))</f>
        <v/>
      </c>
      <c r="E16" s="27">
        <f>C16*INDEX(CATALOGO!N:N,MATCH(A16,CATALOGO!A:A,0))</f>
        <v/>
      </c>
      <c r="F16" s="27">
        <f>C16*INDEX(CATALOGO!O:O,MATCH(A16,CATALOGO!A:A,0))</f>
        <v/>
      </c>
      <c r="G16" s="28">
        <f>F16-E16</f>
        <v/>
      </c>
    </row>
    <row r="17">
      <c r="A17" s="24" t="inlineStr">
        <is>
          <t>EQP-701</t>
        </is>
      </c>
      <c r="B17" s="5">
        <f>INDEX(CATALOGO!B:B,MATCH(A17,CATALOGO!A:A,0))</f>
        <v/>
      </c>
      <c r="C17" s="25" t="n">
        <v>10</v>
      </c>
      <c r="D17" s="26">
        <f>C17*INDEX(CATALOGO!E:E,MATCH(A17,CATALOGO!A:A,0))</f>
        <v/>
      </c>
      <c r="E17" s="27">
        <f>C17*INDEX(CATALOGO!N:N,MATCH(A17,CATALOGO!A:A,0))</f>
        <v/>
      </c>
      <c r="F17" s="27">
        <f>C17*INDEX(CATALOGO!O:O,MATCH(A17,CATALOGO!A:A,0))</f>
        <v/>
      </c>
      <c r="G17" s="28">
        <f>F17-E17</f>
        <v/>
      </c>
    </row>
    <row r="18">
      <c r="A18" s="24" t="inlineStr">
        <is>
          <t>EQP-901</t>
        </is>
      </c>
      <c r="B18" s="5">
        <f>INDEX(CATALOGO!B:B,MATCH(A18,CATALOGO!A:A,0))</f>
        <v/>
      </c>
      <c r="C18" s="25" t="n">
        <v>4</v>
      </c>
      <c r="D18" s="26">
        <f>C18*INDEX(CATALOGO!E:E,MATCH(A18,CATALOGO!A:A,0))</f>
        <v/>
      </c>
      <c r="E18" s="27">
        <f>C18*INDEX(CATALOGO!N:N,MATCH(A18,CATALOGO!A:A,0))</f>
        <v/>
      </c>
      <c r="F18" s="27">
        <f>C18*INDEX(CATALOGO!O:O,MATCH(A18,CATALOGO!A:A,0))</f>
        <v/>
      </c>
      <c r="G18" s="28">
        <f>F18-E18</f>
        <v/>
      </c>
    </row>
    <row r="19">
      <c r="A19" s="24" t="inlineStr">
        <is>
          <t>EQP-951</t>
        </is>
      </c>
      <c r="B19" s="5">
        <f>INDEX(CATALOGO!B:B,MATCH(A19,CATALOGO!A:A,0))</f>
        <v/>
      </c>
      <c r="C19" s="25" t="n">
        <v>10</v>
      </c>
      <c r="D19" s="26">
        <f>C19*INDEX(CATALOGO!E:E,MATCH(A19,CATALOGO!A:A,0))</f>
        <v/>
      </c>
      <c r="E19" s="27">
        <f>C19*INDEX(CATALOGO!N:N,MATCH(A19,CATALOGO!A:A,0))</f>
        <v/>
      </c>
      <c r="F19" s="27">
        <f>C19*INDEX(CATALOGO!O:O,MATCH(A19,CATALOGO!A:A,0))</f>
        <v/>
      </c>
      <c r="G19" s="28">
        <f>F19-E19</f>
        <v/>
      </c>
    </row>
    <row r="20">
      <c r="A20" s="24" t="inlineStr">
        <is>
          <t>EQP-960</t>
        </is>
      </c>
      <c r="B20" s="5">
        <f>INDEX(CATALOGO!B:B,MATCH(A20,CATALOGO!A:A,0))</f>
        <v/>
      </c>
      <c r="C20" s="25" t="n">
        <v>16</v>
      </c>
      <c r="D20" s="26">
        <f>C20*INDEX(CATALOGO!E:E,MATCH(A20,CATALOGO!A:A,0))</f>
        <v/>
      </c>
      <c r="E20" s="27">
        <f>C20*INDEX(CATALOGO!N:N,MATCH(A20,CATALOGO!A:A,0))</f>
        <v/>
      </c>
      <c r="F20" s="27">
        <f>C20*INDEX(CATALOGO!O:O,MATCH(A20,CATALOGO!A:A,0))</f>
        <v/>
      </c>
      <c r="G20" s="28">
        <f>F20-E20</f>
        <v/>
      </c>
    </row>
    <row r="22">
      <c r="B22" s="29" t="inlineStr">
        <is>
          <t>TOTAL</t>
        </is>
      </c>
      <c r="C22" s="30">
        <f>SUM(C4:C20)</f>
        <v/>
      </c>
      <c r="D22" s="31">
        <f>SUM(D4:D20)</f>
        <v/>
      </c>
      <c r="E22" s="32">
        <f>SUM(E4:E20)</f>
        <v/>
      </c>
      <c r="F22" s="32">
        <f>SUM(F4:F20)</f>
        <v/>
      </c>
      <c r="G22" s="32">
        <f>SUM(G4:G20)</f>
        <v/>
      </c>
    </row>
    <row r="23">
      <c r="B23" s="7" t="inlineStr">
        <is>
          <t>CBM disponible (PARAMETROS!B10)</t>
        </is>
      </c>
      <c r="D23" s="33">
        <f>PARAMETROS!$B$10</f>
        <v/>
      </c>
    </row>
    <row r="24">
      <c r="B24" s="24" t="inlineStr">
        <is>
          <t>¿Cabe? (CBM total ≤ disponible)</t>
        </is>
      </c>
      <c r="D24" s="34">
        <f>IF(D22&lt;=D23,"SÍ CABE","NO CABE — quita piezas")</f>
        <v/>
      </c>
    </row>
    <row r="26">
      <c r="B26" s="7" t="inlineStr">
        <is>
          <t>IVA de importación estimado (flujo acreditable, no costo):</t>
        </is>
      </c>
      <c r="E26" s="35">
        <f>E22*PARAMETROS!$B$11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</cols>
  <sheetData>
    <row r="1">
      <c r="A1" s="29" t="inlineStr">
        <is>
          <t>REFERENCIA: mobiliarioenmexico.com.mx — 465 productos (descarga 20-ago-2026, datos crudos en catalogo-referencia.json)</t>
        </is>
      </c>
    </row>
    <row r="3">
      <c r="A3" s="23" t="inlineStr">
        <is>
          <t>Categoría (suya)</t>
        </is>
      </c>
      <c r="B3" s="23" t="inlineStr">
        <is>
          <t># productos</t>
        </is>
      </c>
      <c r="C3" s="23" t="inlineStr">
        <is>
          <t>Precio mín MXN</t>
        </is>
      </c>
      <c r="D3" s="23" t="inlineStr">
        <is>
          <t>Precio máx MXN</t>
        </is>
      </c>
    </row>
    <row r="4">
      <c r="A4" s="5" t="inlineStr">
        <is>
          <t>Sillas Ejecutivas</t>
        </is>
      </c>
      <c r="B4" s="5" t="n">
        <v>82</v>
      </c>
      <c r="C4" s="27" t="n">
        <v>1490</v>
      </c>
      <c r="D4" s="27" t="n">
        <v>17890</v>
      </c>
    </row>
    <row r="5">
      <c r="A5" s="5" t="inlineStr">
        <is>
          <t>Mesas de Comedor</t>
        </is>
      </c>
      <c r="B5" s="5" t="n">
        <v>51</v>
      </c>
      <c r="C5" s="27" t="n">
        <v>1990</v>
      </c>
      <c r="D5" s="27" t="n">
        <v>59990</v>
      </c>
    </row>
    <row r="6">
      <c r="A6" s="5" t="inlineStr">
        <is>
          <t>Sillas de Comedor</t>
        </is>
      </c>
      <c r="B6" s="5" t="n">
        <v>47</v>
      </c>
      <c r="C6" s="27" t="n">
        <v>640</v>
      </c>
      <c r="D6" s="27" t="n">
        <v>3390</v>
      </c>
    </row>
    <row r="7">
      <c r="A7" s="5" t="inlineStr">
        <is>
          <t>Sillas de Visita</t>
        </is>
      </c>
      <c r="B7" s="5" t="n">
        <v>46</v>
      </c>
      <c r="C7" s="27" t="n">
        <v>990</v>
      </c>
      <c r="D7" s="27" t="n">
        <v>8390</v>
      </c>
    </row>
    <row r="8">
      <c r="A8" s="5" t="inlineStr">
        <is>
          <t>Sillas Operativas</t>
        </is>
      </c>
      <c r="B8" s="5" t="n">
        <v>40</v>
      </c>
      <c r="C8" s="27" t="n">
        <v>990</v>
      </c>
      <c r="D8" s="27" t="n">
        <v>6890</v>
      </c>
    </row>
    <row r="9">
      <c r="A9" s="5" t="inlineStr">
        <is>
          <t>Escritorio</t>
        </is>
      </c>
      <c r="B9" s="5" t="n">
        <v>34</v>
      </c>
      <c r="C9" s="27" t="n">
        <v>1690</v>
      </c>
      <c r="D9" s="27" t="n">
        <v>26290</v>
      </c>
    </row>
    <row r="10">
      <c r="A10" s="5" t="inlineStr">
        <is>
          <t>Bancas Tandem</t>
        </is>
      </c>
      <c r="B10" s="5" t="n">
        <v>19</v>
      </c>
      <c r="C10" s="27" t="n">
        <v>2990</v>
      </c>
      <c r="D10" s="27" t="n">
        <v>10490</v>
      </c>
    </row>
    <row r="11">
      <c r="A11" s="5" t="inlineStr">
        <is>
          <t>Mesas de Juntas</t>
        </is>
      </c>
      <c r="B11" s="5" t="n">
        <v>17</v>
      </c>
      <c r="C11" s="27" t="n">
        <v>2690</v>
      </c>
      <c r="D11" s="27" t="n">
        <v>40790</v>
      </c>
    </row>
    <row r="12">
      <c r="A12" s="5" t="inlineStr">
        <is>
          <t>Estaciones de Trabajo</t>
        </is>
      </c>
      <c r="B12" s="5" t="n">
        <v>17</v>
      </c>
      <c r="C12" s="27" t="n">
        <v>6490</v>
      </c>
      <c r="D12" s="27" t="n">
        <v>58590</v>
      </c>
    </row>
    <row r="13">
      <c r="A13" s="5" t="inlineStr">
        <is>
          <t>Bancos de Barra</t>
        </is>
      </c>
      <c r="B13" s="5" t="n">
        <v>17</v>
      </c>
      <c r="C13" s="27" t="n">
        <v>1090</v>
      </c>
      <c r="D13" s="27" t="n">
        <v>3990</v>
      </c>
    </row>
    <row r="14">
      <c r="A14" s="5" t="inlineStr">
        <is>
          <t>Sillones</t>
        </is>
      </c>
      <c r="B14" s="5" t="n">
        <v>17</v>
      </c>
      <c r="C14" s="27" t="n">
        <v>3290</v>
      </c>
      <c r="D14" s="27" t="n">
        <v>24990</v>
      </c>
    </row>
    <row r="15">
      <c r="A15" s="5" t="inlineStr">
        <is>
          <t>Sillones Confortables</t>
        </is>
      </c>
      <c r="B15" s="5" t="n">
        <v>14</v>
      </c>
      <c r="C15" s="27" t="n">
        <v>2390</v>
      </c>
      <c r="D15" s="27" t="n">
        <v>4990</v>
      </c>
    </row>
    <row r="16">
      <c r="A16" s="5" t="inlineStr">
        <is>
          <t>Pupitres</t>
        </is>
      </c>
      <c r="B16" s="5" t="n">
        <v>14</v>
      </c>
      <c r="C16" s="27" t="n">
        <v>1490</v>
      </c>
      <c r="D16" s="27" t="n">
        <v>5790</v>
      </c>
    </row>
    <row r="17">
      <c r="A17" s="5" t="inlineStr">
        <is>
          <t>Bases</t>
        </is>
      </c>
      <c r="B17" s="5" t="n">
        <v>13</v>
      </c>
      <c r="C17" s="27" t="n">
        <v>990</v>
      </c>
      <c r="D17" s="27" t="n">
        <v>2690</v>
      </c>
    </row>
    <row r="18">
      <c r="A18" s="5" t="inlineStr">
        <is>
          <t>Mesas Auxiliares</t>
        </is>
      </c>
      <c r="B18" s="5" t="n">
        <v>6</v>
      </c>
      <c r="C18" s="27" t="n">
        <v>1090</v>
      </c>
      <c r="D18" s="27" t="n">
        <v>12190</v>
      </c>
    </row>
    <row r="19">
      <c r="A19" s="5" t="inlineStr">
        <is>
          <t>Mesas de Bar</t>
        </is>
      </c>
      <c r="B19" s="5" t="n">
        <v>5</v>
      </c>
      <c r="C19" s="27" t="n">
        <v>3290</v>
      </c>
      <c r="D19" s="27" t="n">
        <v>6190</v>
      </c>
    </row>
    <row r="20">
      <c r="A20" s="5" t="inlineStr">
        <is>
          <t>Sillas de Oficina</t>
        </is>
      </c>
      <c r="B20" s="5" t="n">
        <v>4</v>
      </c>
      <c r="C20" s="27" t="n">
        <v>1690</v>
      </c>
      <c r="D20" s="27" t="n">
        <v>4990</v>
      </c>
    </row>
    <row r="21">
      <c r="A21" s="5" t="inlineStr">
        <is>
          <t>Bancos de Oficina</t>
        </is>
      </c>
      <c r="B21" s="5" t="n">
        <v>4</v>
      </c>
      <c r="C21" s="27" t="n">
        <v>1990</v>
      </c>
      <c r="D21" s="27" t="n">
        <v>4190</v>
      </c>
    </row>
    <row r="22">
      <c r="A22" s="5" t="inlineStr">
        <is>
          <t>Bancos Industriales</t>
        </is>
      </c>
      <c r="B22" s="5" t="n">
        <v>4</v>
      </c>
      <c r="C22" s="27" t="n">
        <v>2490</v>
      </c>
      <c r="D22" s="27" t="n">
        <v>4190</v>
      </c>
    </row>
    <row r="23">
      <c r="A23" s="5" t="inlineStr">
        <is>
          <t>Archiveros</t>
        </is>
      </c>
      <c r="B23" s="5" t="n">
        <v>3</v>
      </c>
      <c r="C23" s="27" t="n">
        <v>2290</v>
      </c>
      <c r="D23" s="27" t="n">
        <v>2790</v>
      </c>
    </row>
    <row r="24">
      <c r="A24" s="5" t="inlineStr">
        <is>
          <t>Sofás</t>
        </is>
      </c>
      <c r="B24" s="5" t="n">
        <v>2</v>
      </c>
      <c r="C24" s="27" t="n">
        <v>14290</v>
      </c>
      <c r="D24" s="27" t="n">
        <v>23390</v>
      </c>
    </row>
    <row r="25">
      <c r="A25" s="5" t="inlineStr">
        <is>
          <t>Camastros</t>
        </is>
      </c>
      <c r="B25" s="5" t="n">
        <v>2</v>
      </c>
      <c r="C25" s="27" t="n">
        <v>3890</v>
      </c>
      <c r="D25" s="27" t="n">
        <v>5590</v>
      </c>
    </row>
    <row r="26">
      <c r="A26" s="5" t="inlineStr">
        <is>
          <t>Sillas Infantiles</t>
        </is>
      </c>
      <c r="B26" s="5" t="n">
        <v>2</v>
      </c>
      <c r="C26" s="27" t="n">
        <v>590</v>
      </c>
      <c r="D26" s="27" t="n">
        <v>590</v>
      </c>
    </row>
    <row r="27">
      <c r="A27" s="5" t="inlineStr">
        <is>
          <t>Sillas de Exterior</t>
        </is>
      </c>
      <c r="B27" s="5" t="n">
        <v>1</v>
      </c>
      <c r="C27" s="27" t="n">
        <v>3890</v>
      </c>
      <c r="D27" s="27" t="n">
        <v>3890</v>
      </c>
    </row>
    <row r="28">
      <c r="A28" s="5" t="inlineStr">
        <is>
          <t>Mesas Infantiles</t>
        </is>
      </c>
      <c r="B28" s="5" t="n">
        <v>1</v>
      </c>
      <c r="C28" s="27" t="n">
        <v>6990</v>
      </c>
      <c r="D28" s="27" t="n">
        <v>6990</v>
      </c>
    </row>
    <row r="29">
      <c r="A29" s="5" t="inlineStr">
        <is>
          <t>Sillas para Bebés de Restaurantes</t>
        </is>
      </c>
      <c r="B29" s="5" t="n">
        <v>1</v>
      </c>
      <c r="C29" s="27" t="n">
        <v>2990</v>
      </c>
      <c r="D29" s="27" t="n">
        <v>2990</v>
      </c>
    </row>
    <row r="30">
      <c r="A30" s="5" t="inlineStr">
        <is>
          <t>Percheros</t>
        </is>
      </c>
      <c r="B30" s="5" t="n">
        <v>1</v>
      </c>
      <c r="C30" s="27" t="n">
        <v>1390</v>
      </c>
      <c r="D30" s="27" t="n">
        <v>1390</v>
      </c>
    </row>
    <row r="31">
      <c r="A31" s="5" t="inlineStr">
        <is>
          <t>Botes de Basura</t>
        </is>
      </c>
      <c r="B31" s="5" t="n">
        <v>1</v>
      </c>
      <c r="C31" s="27" t="n">
        <v>5990</v>
      </c>
      <c r="D31" s="27" t="n">
        <v>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2026-08-20T20:21:53Z</dcterms:created>
  <dcterms:modified xmlns:dcterms="http://purl.org/dc/terms/" xmlns:xsi="http://www.w3.org/2001/XMLSchema-instance" xsi:type="dcterms:W3CDTF">2026-08-20T20:21:53Z</dcterms:modified>
</cp:coreProperties>
</file>